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TUF F15\Desktop\AsistenteBodegaIA\datos\"/>
    </mc:Choice>
  </mc:AlternateContent>
  <xr:revisionPtr revIDLastSave="0" documentId="8_{105A1700-1925-4889-A951-E14913112022}" xr6:coauthVersionLast="47" xr6:coauthVersionMax="47" xr10:uidLastSave="{00000000-0000-0000-0000-000000000000}"/>
  <bookViews>
    <workbookView xWindow="-108" yWindow="-108" windowWidth="23256" windowHeight="12456" xr2:uid="{14E3A02E-E182-494D-BF65-FBDEDAC9F4E2}"/>
  </bookViews>
  <sheets>
    <sheet name="Hoja2" sheetId="1" r:id="rId1"/>
  </sheets>
  <externalReferences>
    <externalReference r:id="rId2"/>
  </externalReferences>
  <definedNames>
    <definedName name="_xlnm._FilterDatabase" localSheetId="0" hidden="1">Hoja2!$A$1:$H$898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896" i="1" l="1"/>
  <c r="D896" i="1"/>
  <c r="H890" i="1"/>
  <c r="D890" i="1"/>
  <c r="H889" i="1"/>
  <c r="D889" i="1"/>
  <c r="H884" i="1"/>
  <c r="D884" i="1"/>
  <c r="H880" i="1"/>
  <c r="D880" i="1"/>
  <c r="H873" i="1"/>
  <c r="D873" i="1"/>
  <c r="H869" i="1"/>
  <c r="D869" i="1"/>
  <c r="H865" i="1"/>
  <c r="D865" i="1"/>
  <c r="H861" i="1"/>
  <c r="D861" i="1"/>
  <c r="H860" i="1"/>
  <c r="D860" i="1"/>
  <c r="H856" i="1"/>
  <c r="D856" i="1"/>
  <c r="H852" i="1"/>
  <c r="D852" i="1"/>
  <c r="H848" i="1"/>
  <c r="D848" i="1"/>
  <c r="H844" i="1"/>
  <c r="D844" i="1"/>
  <c r="H840" i="1"/>
  <c r="D840" i="1"/>
  <c r="H838" i="1"/>
  <c r="D838" i="1"/>
  <c r="H834" i="1"/>
  <c r="D834" i="1"/>
  <c r="H830" i="1"/>
  <c r="D830" i="1"/>
  <c r="H826" i="1"/>
  <c r="D826" i="1"/>
  <c r="H822" i="1"/>
  <c r="D822" i="1"/>
  <c r="H819" i="1"/>
  <c r="D819" i="1"/>
  <c r="H812" i="1"/>
  <c r="D812" i="1"/>
  <c r="H808" i="1"/>
  <c r="D808" i="1"/>
  <c r="H803" i="1"/>
  <c r="D803" i="1"/>
  <c r="H797" i="1"/>
  <c r="D797" i="1"/>
  <c r="H793" i="1"/>
  <c r="D793" i="1"/>
  <c r="H789" i="1"/>
  <c r="D789" i="1"/>
  <c r="H785" i="1"/>
  <c r="D785" i="1"/>
  <c r="H781" i="1"/>
  <c r="D781" i="1"/>
  <c r="H777" i="1"/>
  <c r="D777" i="1"/>
  <c r="H773" i="1"/>
  <c r="D773" i="1"/>
  <c r="H769" i="1"/>
  <c r="D769" i="1"/>
  <c r="H765" i="1"/>
  <c r="D765" i="1"/>
  <c r="H762" i="1"/>
  <c r="D762" i="1"/>
  <c r="H758" i="1"/>
  <c r="D758" i="1"/>
  <c r="H754" i="1"/>
  <c r="D754" i="1"/>
  <c r="H750" i="1"/>
  <c r="D750" i="1"/>
  <c r="H743" i="1"/>
  <c r="D743" i="1"/>
  <c r="H739" i="1"/>
  <c r="D739" i="1"/>
  <c r="H735" i="1"/>
  <c r="D735" i="1"/>
  <c r="H729" i="1"/>
  <c r="D729" i="1"/>
  <c r="H728" i="1"/>
  <c r="D728" i="1"/>
  <c r="H720" i="1"/>
  <c r="D720" i="1"/>
  <c r="H716" i="1"/>
  <c r="D716" i="1"/>
  <c r="H712" i="1"/>
  <c r="D712" i="1"/>
  <c r="H708" i="1"/>
  <c r="D708" i="1"/>
  <c r="H704" i="1"/>
  <c r="D704" i="1"/>
  <c r="H700" i="1"/>
  <c r="D700" i="1"/>
  <c r="H696" i="1"/>
  <c r="D696" i="1"/>
  <c r="H692" i="1"/>
  <c r="D692" i="1"/>
  <c r="H688" i="1"/>
  <c r="D688" i="1"/>
  <c r="H684" i="1"/>
  <c r="D684" i="1"/>
  <c r="H680" i="1"/>
  <c r="D680" i="1"/>
  <c r="H676" i="1"/>
  <c r="D676" i="1"/>
  <c r="H672" i="1"/>
  <c r="D672" i="1"/>
  <c r="H668" i="1"/>
  <c r="D668" i="1"/>
  <c r="H664" i="1"/>
  <c r="D664" i="1"/>
  <c r="H660" i="1"/>
  <c r="D660" i="1"/>
  <c r="H657" i="1"/>
  <c r="D657" i="1"/>
  <c r="H653" i="1"/>
  <c r="D653" i="1"/>
  <c r="H649" i="1"/>
  <c r="D649" i="1"/>
  <c r="H645" i="1"/>
  <c r="D645" i="1"/>
  <c r="H641" i="1"/>
  <c r="D641" i="1"/>
  <c r="H637" i="1"/>
  <c r="D637" i="1"/>
  <c r="H633" i="1"/>
  <c r="D633" i="1"/>
  <c r="H629" i="1"/>
  <c r="D629" i="1"/>
  <c r="H625" i="1"/>
  <c r="D625" i="1"/>
  <c r="H621" i="1"/>
  <c r="D621" i="1"/>
  <c r="H615" i="1"/>
  <c r="D615" i="1"/>
  <c r="H614" i="1"/>
  <c r="D614" i="1"/>
  <c r="H609" i="1"/>
  <c r="D609" i="1"/>
  <c r="H605" i="1"/>
  <c r="D605" i="1"/>
  <c r="H601" i="1"/>
  <c r="D601" i="1"/>
  <c r="H597" i="1"/>
  <c r="D597" i="1"/>
  <c r="H593" i="1"/>
  <c r="D593" i="1"/>
  <c r="H589" i="1"/>
  <c r="D589" i="1"/>
  <c r="H587" i="1"/>
  <c r="D587" i="1"/>
  <c r="H584" i="1"/>
  <c r="D584" i="1"/>
  <c r="H580" i="1"/>
  <c r="D580" i="1"/>
  <c r="H573" i="1"/>
  <c r="D573" i="1"/>
  <c r="H569" i="1"/>
  <c r="D569" i="1"/>
  <c r="H565" i="1"/>
  <c r="D565" i="1"/>
  <c r="H561" i="1"/>
  <c r="D561" i="1"/>
  <c r="H557" i="1"/>
  <c r="D557" i="1"/>
  <c r="H553" i="1"/>
  <c r="D553" i="1"/>
  <c r="H549" i="1"/>
  <c r="D549" i="1"/>
  <c r="H545" i="1"/>
  <c r="D545" i="1"/>
  <c r="H539" i="1"/>
  <c r="D539" i="1"/>
  <c r="H538" i="1"/>
  <c r="D538" i="1"/>
  <c r="H533" i="1"/>
  <c r="D533" i="1"/>
  <c r="H529" i="1"/>
  <c r="D529" i="1"/>
  <c r="H526" i="1"/>
  <c r="D526" i="1"/>
  <c r="H522" i="1"/>
  <c r="D522" i="1"/>
  <c r="H518" i="1"/>
  <c r="D518" i="1"/>
  <c r="H514" i="1"/>
  <c r="D514" i="1"/>
  <c r="H509" i="1"/>
  <c r="D509" i="1"/>
  <c r="H505" i="1"/>
  <c r="D505" i="1"/>
  <c r="H501" i="1"/>
  <c r="D501" i="1"/>
  <c r="H497" i="1"/>
  <c r="D497" i="1"/>
  <c r="H493" i="1"/>
  <c r="D493" i="1"/>
  <c r="H489" i="1"/>
  <c r="D489" i="1"/>
  <c r="H485" i="1"/>
  <c r="D485" i="1"/>
  <c r="H481" i="1"/>
  <c r="D481" i="1"/>
  <c r="H477" i="1"/>
  <c r="D477" i="1"/>
  <c r="H475" i="1"/>
  <c r="D475" i="1"/>
  <c r="H471" i="1"/>
  <c r="D471" i="1"/>
  <c r="H467" i="1"/>
  <c r="D467" i="1"/>
  <c r="H463" i="1"/>
  <c r="D463" i="1"/>
  <c r="H459" i="1"/>
  <c r="D459" i="1"/>
  <c r="H455" i="1"/>
  <c r="D455" i="1"/>
  <c r="H451" i="1"/>
  <c r="D451" i="1"/>
  <c r="H447" i="1"/>
  <c r="D447" i="1"/>
  <c r="H443" i="1"/>
  <c r="D443" i="1"/>
  <c r="H440" i="1"/>
  <c r="D440" i="1"/>
  <c r="H437" i="1"/>
  <c r="D437" i="1"/>
  <c r="H433" i="1"/>
  <c r="D433" i="1"/>
  <c r="H429" i="1"/>
  <c r="D429" i="1"/>
  <c r="H425" i="1"/>
  <c r="D425" i="1"/>
  <c r="H418" i="1"/>
  <c r="D418" i="1"/>
  <c r="H414" i="1"/>
  <c r="D414" i="1"/>
  <c r="H408" i="1"/>
  <c r="D408" i="1"/>
  <c r="H404" i="1"/>
  <c r="D404" i="1"/>
  <c r="H400" i="1"/>
  <c r="D400" i="1"/>
  <c r="H396" i="1"/>
  <c r="D396" i="1"/>
  <c r="H392" i="1"/>
  <c r="D392" i="1"/>
  <c r="H388" i="1"/>
  <c r="D388" i="1"/>
  <c r="H384" i="1"/>
  <c r="D384" i="1"/>
  <c r="H378" i="1"/>
  <c r="D378" i="1"/>
  <c r="H377" i="1"/>
  <c r="D377" i="1"/>
  <c r="H372" i="1"/>
  <c r="D372" i="1"/>
  <c r="H368" i="1"/>
  <c r="D368" i="1"/>
  <c r="H364" i="1"/>
  <c r="D364" i="1"/>
  <c r="H360" i="1"/>
  <c r="D360" i="1"/>
  <c r="H356" i="1"/>
  <c r="D356" i="1"/>
  <c r="H352" i="1"/>
  <c r="D352" i="1"/>
  <c r="H350" i="1"/>
  <c r="D350" i="1"/>
  <c r="H347" i="1"/>
  <c r="D347" i="1"/>
  <c r="H343" i="1"/>
  <c r="D343" i="1"/>
  <c r="H339" i="1"/>
  <c r="D339" i="1"/>
  <c r="H335" i="1"/>
  <c r="D335" i="1"/>
  <c r="H331" i="1"/>
  <c r="D331" i="1"/>
  <c r="H327" i="1"/>
  <c r="D327" i="1"/>
  <c r="H323" i="1"/>
  <c r="D323" i="1"/>
  <c r="H319" i="1"/>
  <c r="D319" i="1"/>
  <c r="H315" i="1"/>
  <c r="D315" i="1"/>
  <c r="H309" i="1"/>
  <c r="D309" i="1"/>
  <c r="H308" i="1"/>
  <c r="D308" i="1"/>
  <c r="H303" i="1"/>
  <c r="D303" i="1"/>
  <c r="H297" i="1"/>
  <c r="D297" i="1"/>
  <c r="H294" i="1"/>
  <c r="D294" i="1"/>
  <c r="H290" i="1"/>
  <c r="D290" i="1"/>
  <c r="H286" i="1"/>
  <c r="D286" i="1"/>
  <c r="H282" i="1"/>
  <c r="D282" i="1"/>
  <c r="H278" i="1"/>
  <c r="D278" i="1"/>
  <c r="H274" i="1"/>
  <c r="D274" i="1"/>
  <c r="H269" i="1"/>
  <c r="D269" i="1"/>
  <c r="H268" i="1"/>
  <c r="D268" i="1"/>
  <c r="H263" i="1"/>
  <c r="D263" i="1"/>
  <c r="H259" i="1"/>
  <c r="D259" i="1"/>
  <c r="H253" i="1"/>
  <c r="D253" i="1"/>
  <c r="H252" i="1"/>
  <c r="D252" i="1"/>
  <c r="H247" i="1"/>
  <c r="D247" i="1"/>
  <c r="H243" i="1"/>
  <c r="D243" i="1"/>
  <c r="H239" i="1"/>
  <c r="D239" i="1"/>
  <c r="H235" i="1"/>
  <c r="D235" i="1"/>
  <c r="H231" i="1"/>
  <c r="D231" i="1"/>
  <c r="H228" i="1"/>
  <c r="D228" i="1"/>
  <c r="H223" i="1"/>
  <c r="D223" i="1"/>
  <c r="H219" i="1"/>
  <c r="D219" i="1"/>
  <c r="H215" i="1"/>
  <c r="D215" i="1"/>
  <c r="H211" i="1"/>
  <c r="D211" i="1"/>
  <c r="H207" i="1"/>
  <c r="D207" i="1"/>
  <c r="H203" i="1"/>
  <c r="D203" i="1"/>
  <c r="H199" i="1"/>
  <c r="D199" i="1"/>
  <c r="H195" i="1"/>
  <c r="D195" i="1"/>
  <c r="H191" i="1"/>
  <c r="D191" i="1"/>
  <c r="H187" i="1"/>
  <c r="D187" i="1"/>
  <c r="H183" i="1"/>
  <c r="D183" i="1"/>
  <c r="H178" i="1"/>
  <c r="D178" i="1"/>
  <c r="H177" i="1"/>
  <c r="D177" i="1"/>
  <c r="H169" i="1"/>
  <c r="D169" i="1"/>
  <c r="H165" i="1"/>
  <c r="D165" i="1"/>
  <c r="H161" i="1"/>
  <c r="D161" i="1"/>
  <c r="H157" i="1"/>
  <c r="D157" i="1"/>
  <c r="H153" i="1"/>
  <c r="D153" i="1"/>
  <c r="H149" i="1"/>
  <c r="D149" i="1"/>
  <c r="H145" i="1"/>
  <c r="D145" i="1"/>
  <c r="H141" i="1"/>
  <c r="D141" i="1"/>
  <c r="H137" i="1"/>
  <c r="D137" i="1"/>
  <c r="H133" i="1"/>
  <c r="D133" i="1"/>
  <c r="H129" i="1"/>
  <c r="D129" i="1"/>
  <c r="H125" i="1"/>
  <c r="D125" i="1"/>
  <c r="H121" i="1"/>
  <c r="D121" i="1"/>
  <c r="H117" i="1"/>
  <c r="D117" i="1"/>
  <c r="H113" i="1"/>
  <c r="D113" i="1"/>
  <c r="H109" i="1"/>
  <c r="D109" i="1"/>
  <c r="H105" i="1"/>
  <c r="D105" i="1"/>
  <c r="H101" i="1"/>
  <c r="D101" i="1"/>
  <c r="H97" i="1"/>
  <c r="D97" i="1"/>
  <c r="H93" i="1"/>
  <c r="D93" i="1"/>
  <c r="H89" i="1"/>
  <c r="D89" i="1"/>
  <c r="H83" i="1"/>
  <c r="D83" i="1"/>
  <c r="H82" i="1"/>
  <c r="D82" i="1"/>
  <c r="H77" i="1"/>
  <c r="D77" i="1"/>
  <c r="H73" i="1"/>
  <c r="D73" i="1"/>
  <c r="H69" i="1"/>
  <c r="D69" i="1"/>
  <c r="H57" i="1"/>
  <c r="D57" i="1"/>
  <c r="H56" i="1"/>
  <c r="D56" i="1"/>
  <c r="H51" i="1"/>
  <c r="D51" i="1"/>
  <c r="H47" i="1"/>
  <c r="D47" i="1"/>
  <c r="H41" i="1"/>
  <c r="D41" i="1"/>
  <c r="H40" i="1"/>
  <c r="D40" i="1"/>
  <c r="H35" i="1"/>
  <c r="D35" i="1"/>
  <c r="H31" i="1"/>
  <c r="D31" i="1"/>
  <c r="H26" i="1"/>
  <c r="D26" i="1"/>
  <c r="H22" i="1"/>
  <c r="D22" i="1"/>
  <c r="H19" i="1"/>
  <c r="D19" i="1"/>
  <c r="H11" i="1"/>
  <c r="D11" i="1"/>
  <c r="H7" i="1"/>
  <c r="D7" i="1"/>
  <c r="H3" i="1"/>
  <c r="D3" i="1"/>
</calcChain>
</file>

<file path=xl/sharedStrings.xml><?xml version="1.0" encoding="utf-8"?>
<sst xmlns="http://schemas.openxmlformats.org/spreadsheetml/2006/main" count="3317" uniqueCount="1083">
  <si>
    <t>CODIGO</t>
  </si>
  <si>
    <t>APLICACIÓN</t>
  </si>
  <si>
    <t>TIPO</t>
  </si>
  <si>
    <t>DIAMETRO_DISCO</t>
  </si>
  <si>
    <t>GROSOR_DISCO</t>
  </si>
  <si>
    <t>ALTURA_TOTAL</t>
  </si>
  <si>
    <t>DIAMETRO_HUB</t>
  </si>
  <si>
    <t>NUMERO_HUECOS</t>
  </si>
  <si>
    <t>YQ4755</t>
  </si>
  <si>
    <t xml:space="preserve">Disco Freno  Citroin C4-C5 1.6-2.0 08-19, Peugeot 308-508-3008-5008 1.6-2.0 08-18 </t>
  </si>
  <si>
    <t>V/D</t>
  </si>
  <si>
    <t>5H</t>
  </si>
  <si>
    <t>BD4755</t>
  </si>
  <si>
    <t>HF - 752A</t>
  </si>
  <si>
    <t>YQ4750</t>
  </si>
  <si>
    <t>Disco Freno  Peugeot 206 1.4-1.6-2.0/ 207 1.4-1.6/ Citroen Elysee 1.6</t>
  </si>
  <si>
    <t>4H</t>
  </si>
  <si>
    <t>BD4750</t>
  </si>
  <si>
    <t>4246W7</t>
  </si>
  <si>
    <t>HF - 750</t>
  </si>
  <si>
    <t>YQ4746</t>
  </si>
  <si>
    <t xml:space="preserve">Disco Freno  Peugeot 306 1.8 93-02, 206 1.6 00-08/ Citroin Xsara 1.4 03-05 </t>
  </si>
  <si>
    <t>S/P</t>
  </si>
  <si>
    <t>BD4746</t>
  </si>
  <si>
    <t>4246W9</t>
  </si>
  <si>
    <t>HF - 746</t>
  </si>
  <si>
    <t>YQ1075</t>
  </si>
  <si>
    <t>Disco Freno Cerry Arrizo 3</t>
  </si>
  <si>
    <t>J52-3501075</t>
  </si>
  <si>
    <t>J603502075</t>
  </si>
  <si>
    <t>Disco Freno Cerry Arrizo 5 6 1.5 19&gt;</t>
  </si>
  <si>
    <t>HF - 54E</t>
  </si>
  <si>
    <t>YQ1005</t>
  </si>
  <si>
    <t>Disco Freno Cherry Practivan QQ6 Van Pass N300</t>
  </si>
  <si>
    <t>YQS213</t>
  </si>
  <si>
    <t>S213501075</t>
  </si>
  <si>
    <t>YQ2886</t>
  </si>
  <si>
    <t>Disco Freno Cherry Tiggo 2 09-15</t>
  </si>
  <si>
    <t>BD2886</t>
  </si>
  <si>
    <t>T113501075BA</t>
  </si>
  <si>
    <t>HF-53G</t>
  </si>
  <si>
    <t>YQ4417</t>
  </si>
  <si>
    <t>Disco Freno Cherry Tiggo 2 2.0 19&gt;/ Arrizo 5 6 1.5 19&gt;</t>
  </si>
  <si>
    <t>BD4417</t>
  </si>
  <si>
    <t>J69-3501075</t>
  </si>
  <si>
    <t>HF-53N</t>
  </si>
  <si>
    <t>T15-3501075</t>
  </si>
  <si>
    <t>Disco Freno Cherry Tiggo 4 7 8, Tiggo 8 Pro 1.5 1.6 16&gt;</t>
  </si>
  <si>
    <t>YQ3548</t>
  </si>
  <si>
    <t>Disco Freno Chev. Onix 1.0 20&gt;</t>
  </si>
  <si>
    <t>BD3548</t>
  </si>
  <si>
    <t>HF - 51N</t>
  </si>
  <si>
    <t>YQ9110</t>
  </si>
  <si>
    <t>Disco Freno Chevrolet Astra, Zafira, 2.0 01-08 (Con ABS)</t>
  </si>
  <si>
    <t>BD9110</t>
  </si>
  <si>
    <t>569109</t>
  </si>
  <si>
    <t>HF - 23E</t>
  </si>
  <si>
    <t>YQ9060</t>
  </si>
  <si>
    <t>Disco Freno Chevrolet Astra, Zafira, Vectra 2.0 01-08</t>
  </si>
  <si>
    <t>YQ9210</t>
  </si>
  <si>
    <t>BD9060</t>
  </si>
  <si>
    <t>BD9210</t>
  </si>
  <si>
    <t>90539466</t>
  </si>
  <si>
    <t>4565693</t>
  </si>
  <si>
    <t>HF - 26B</t>
  </si>
  <si>
    <t>HF - 23D</t>
  </si>
  <si>
    <t>YQ4908</t>
  </si>
  <si>
    <t xml:space="preserve">Disco Freno Chevrolet Aveo Family-Emotion 1.5 10-19, Espero, Vectra, Astra 02 </t>
  </si>
  <si>
    <t>BD4908</t>
  </si>
  <si>
    <t>96534660/93813434</t>
  </si>
  <si>
    <t>HF - 51</t>
  </si>
  <si>
    <t>YQ3966</t>
  </si>
  <si>
    <t>Disco Freno Chevrolet Blazer 4X4 S-10 94-02 (ABS)</t>
  </si>
  <si>
    <t>BD3966</t>
  </si>
  <si>
    <t>HF - 21A</t>
  </si>
  <si>
    <t>YQ9049</t>
  </si>
  <si>
    <t>Disco Freno Chevrolet Captiva 2.4 3.0 3.2 09-17</t>
  </si>
  <si>
    <t>V/P</t>
  </si>
  <si>
    <t>YQ9048</t>
  </si>
  <si>
    <t>BD9049</t>
  </si>
  <si>
    <t>BD9048</t>
  </si>
  <si>
    <t>20892949/25804049</t>
  </si>
  <si>
    <t>HF - 26D</t>
  </si>
  <si>
    <t>HF - 26C</t>
  </si>
  <si>
    <t>YQ9973</t>
  </si>
  <si>
    <t xml:space="preserve">Disco Freno Chevrolet Captiva LTZ Turbo 1.5 5P 2023 </t>
  </si>
  <si>
    <t>YQ9958</t>
  </si>
  <si>
    <t xml:space="preserve">Disco Freno Chevrolet Captiva Turbo 1.5 </t>
  </si>
  <si>
    <t>YQ9714</t>
  </si>
  <si>
    <t>YQ1440</t>
  </si>
  <si>
    <t xml:space="preserve">Disco Freno Chevrolet Corsa 13,1.4,1.6/ Wind/ Racer/ Cielo/ Daewoo Lanos </t>
  </si>
  <si>
    <t>4/6H</t>
  </si>
  <si>
    <t>BD1440</t>
  </si>
  <si>
    <t>90121445</t>
  </si>
  <si>
    <t>HF - 20</t>
  </si>
  <si>
    <t>YQ7966</t>
  </si>
  <si>
    <t>Disco Freno Chevrolet Corsa Evolution 1.4 03-07/ Joy 22-23</t>
  </si>
  <si>
    <t>BD7966</t>
  </si>
  <si>
    <t>HF - 23B</t>
  </si>
  <si>
    <t>YQ9000</t>
  </si>
  <si>
    <t>Disco Freno Chevrolet Corsa Evolution 1.8 03-07</t>
  </si>
  <si>
    <t>BD9000</t>
  </si>
  <si>
    <t>569000/9127967</t>
  </si>
  <si>
    <t>HF - 20A</t>
  </si>
  <si>
    <t>YQ1559</t>
  </si>
  <si>
    <t>Disco Freno Chevrolet Cruze 1.4 Turbo 17-18</t>
  </si>
  <si>
    <t>YQ1564</t>
  </si>
  <si>
    <t>BD1559</t>
  </si>
  <si>
    <t>BD1564</t>
  </si>
  <si>
    <t>13502045/13597451</t>
  </si>
  <si>
    <t>13597356</t>
  </si>
  <si>
    <t>HF - 51B</t>
  </si>
  <si>
    <t>HF - 51L</t>
  </si>
  <si>
    <t>YQ1560</t>
  </si>
  <si>
    <t>Disco Freno Chevrolet Cruze 1.8 11-16</t>
  </si>
  <si>
    <t>BD1560</t>
  </si>
  <si>
    <t>13502134</t>
  </si>
  <si>
    <t>HF - 51E</t>
  </si>
  <si>
    <t>YQ6039</t>
  </si>
  <si>
    <t>Disco Freno Chevrolet D-Max 2.4-2.5 4x2 05-13, Luv 3.2 06&lt; / Great Wall Wingle cd 4X2 2.3 13&gt; (Gasolina)</t>
  </si>
  <si>
    <t>6H</t>
  </si>
  <si>
    <t>BD6039</t>
  </si>
  <si>
    <t>HF - 54</t>
  </si>
  <si>
    <t>YQ3970</t>
  </si>
  <si>
    <t>Disco Freno Chevrolet D-Max Hi Ride  RT50 3.0 4x4 14-19/ Trailblazer</t>
  </si>
  <si>
    <t>BD3970</t>
  </si>
  <si>
    <t>HF - 21E/HF-9474</t>
  </si>
  <si>
    <t>YQ6780</t>
  </si>
  <si>
    <t>Disco Freno Chevrolet D-Max RT50 2.5 4x2 4x4</t>
  </si>
  <si>
    <t>BD6780</t>
  </si>
  <si>
    <t>HF - 54A</t>
  </si>
  <si>
    <t>YQ1557</t>
  </si>
  <si>
    <t>Disco Freno Chevrolet Equinox 1.5 Turbo 18-20 (R-18)</t>
  </si>
  <si>
    <t>BD1557</t>
  </si>
  <si>
    <t>HF - 308C</t>
  </si>
  <si>
    <t>YQ2863</t>
  </si>
  <si>
    <t>Disco Freno Chevrolet Gran Vitara 3P XL3</t>
  </si>
  <si>
    <t>BD2863</t>
  </si>
  <si>
    <t>30024673/5521165D01</t>
  </si>
  <si>
    <t>HF - 308</t>
  </si>
  <si>
    <t>YQ6010</t>
  </si>
  <si>
    <t>Disco Freno Chevrolet Gran Vitara 5P XL7 2.7</t>
  </si>
  <si>
    <t>BD6010</t>
  </si>
  <si>
    <t>5521165D11</t>
  </si>
  <si>
    <t>HF - 302</t>
  </si>
  <si>
    <t>YQ3545</t>
  </si>
  <si>
    <t>Disco Freno Chevrolet Joy 1.0 1.4 20&gt;</t>
  </si>
  <si>
    <t>BD3545</t>
  </si>
  <si>
    <t>HF - 51C</t>
  </si>
  <si>
    <t>YQ2376</t>
  </si>
  <si>
    <t>Disco Freno Chevrolet Luv 2.2-2.3, Trooper Rodeo 2.6</t>
  </si>
  <si>
    <t>BD2376</t>
  </si>
  <si>
    <t>569801/8941723761</t>
  </si>
  <si>
    <t>HF - 28A</t>
  </si>
  <si>
    <t>YQ3168</t>
  </si>
  <si>
    <t>Disco Freno Chevrolet N200/ Chana DFSK 1.2 21&gt;</t>
  </si>
  <si>
    <t>S/D</t>
  </si>
  <si>
    <t>BD3168</t>
  </si>
  <si>
    <t>SC1022BB13D</t>
  </si>
  <si>
    <t>HF - 168</t>
  </si>
  <si>
    <t>YQ3606</t>
  </si>
  <si>
    <t>Disco Freno Chevrolet N200-300/ Mini Van/ Wuling Sgmw 13&gt; / Foton Gratour Furgoneta 1.2</t>
  </si>
  <si>
    <t>BD3606</t>
  </si>
  <si>
    <t>HF - 26E</t>
  </si>
  <si>
    <t>YQ8338</t>
  </si>
  <si>
    <t xml:space="preserve">Disco Freno Chevrolet Optra Lacetti, Vivant </t>
  </si>
  <si>
    <t>BD8338</t>
  </si>
  <si>
    <t>96549782</t>
  </si>
  <si>
    <t>HF - 52</t>
  </si>
  <si>
    <t>YQ6028</t>
  </si>
  <si>
    <t xml:space="preserve">Disco Freno Chevrolet Optra Posterior 1.8 03-14 </t>
  </si>
  <si>
    <t>BD6028</t>
  </si>
  <si>
    <t>96549630</t>
  </si>
  <si>
    <t>HF - 52A</t>
  </si>
  <si>
    <t>YQ0618</t>
  </si>
  <si>
    <t>Disco Freno Chevrolet Sail 1.5 17-21</t>
  </si>
  <si>
    <t>BD0618</t>
  </si>
  <si>
    <t>90870685</t>
  </si>
  <si>
    <t>HF - 20E</t>
  </si>
  <si>
    <t>YQ7738</t>
  </si>
  <si>
    <t>Disco Freno Chevrolet San Remo 84-96 (Con Cubo)</t>
  </si>
  <si>
    <t>BD7738</t>
  </si>
  <si>
    <t>HF - 22</t>
  </si>
  <si>
    <t>YQ4633</t>
  </si>
  <si>
    <t xml:space="preserve">Disco Freno Chevrolet Spark GT 11-19, Chevrolet Sail 1.4 </t>
  </si>
  <si>
    <t>BD4633</t>
  </si>
  <si>
    <t>9056028</t>
  </si>
  <si>
    <t>HF - 20C</t>
  </si>
  <si>
    <t>YQ4392</t>
  </si>
  <si>
    <t>Disco Freno Chevrolet Spark, Cronos, Life 0.8 1.0 04-19/  QQ Chino</t>
  </si>
  <si>
    <t>BD4392</t>
  </si>
  <si>
    <t>96320531</t>
  </si>
  <si>
    <t>HF - 53</t>
  </si>
  <si>
    <t>YQ6101</t>
  </si>
  <si>
    <t>Disco Freno Chevrolet Steem 1.6 96-02</t>
  </si>
  <si>
    <t>BD6101</t>
  </si>
  <si>
    <t>5531161G00</t>
  </si>
  <si>
    <t>HF - 307</t>
  </si>
  <si>
    <t>YQ1160</t>
  </si>
  <si>
    <t>Disco Freno Chevrolet Suzuki Forsa I, Super Carry</t>
  </si>
  <si>
    <t>BD1160</t>
  </si>
  <si>
    <t>HF - 304</t>
  </si>
  <si>
    <t>YQ6040</t>
  </si>
  <si>
    <t>Disco Freno Chevrolet Suzuki Forza 1.3 89-96</t>
  </si>
  <si>
    <t>BD6040</t>
  </si>
  <si>
    <t>5531160B40</t>
  </si>
  <si>
    <t>HF - 306</t>
  </si>
  <si>
    <t>YQ6030</t>
  </si>
  <si>
    <t xml:space="preserve">Disco Freno Chevrolet Suzuki Forza II 91-00, Swift 1.6, Alto  </t>
  </si>
  <si>
    <t>BD6030</t>
  </si>
  <si>
    <t>55311-60B21/5531160B30</t>
  </si>
  <si>
    <t>HF - 305</t>
  </si>
  <si>
    <t>YQ6022</t>
  </si>
  <si>
    <t>Disco Freno Chevrolet Suzuki Forza II 92-02</t>
  </si>
  <si>
    <t>5531160B22</t>
  </si>
  <si>
    <t>HF - 305A</t>
  </si>
  <si>
    <t>YQ6097</t>
  </si>
  <si>
    <t>Disco Freno Chevrolet Suzuki S-Cross SX4 1.6 17-21</t>
  </si>
  <si>
    <t>YQ6041</t>
  </si>
  <si>
    <t>BD6097</t>
  </si>
  <si>
    <t>BD6041</t>
  </si>
  <si>
    <t>5561161M0000</t>
  </si>
  <si>
    <t>HF - 302D</t>
  </si>
  <si>
    <t>HF - 302C</t>
  </si>
  <si>
    <t>YQ1573</t>
  </si>
  <si>
    <t xml:space="preserve">Disco Freno Chevrolet Tracker 1.0 1.2 20&gt; </t>
  </si>
  <si>
    <t>BD1573</t>
  </si>
  <si>
    <t>HF - 308F</t>
  </si>
  <si>
    <t>YQ1553</t>
  </si>
  <si>
    <t xml:space="preserve">Disco Freno Chevrolet Tracker 1.8 14-20 </t>
  </si>
  <si>
    <t>BD1553</t>
  </si>
  <si>
    <t>HF - 308A</t>
  </si>
  <si>
    <t>YQ4070</t>
  </si>
  <si>
    <t>Disco Freno Chevrolet Tracker 1.8 14-20&gt;</t>
  </si>
  <si>
    <t>BD4070</t>
  </si>
  <si>
    <t>HF - 30A</t>
  </si>
  <si>
    <t>YQ9050</t>
  </si>
  <si>
    <t xml:space="preserve">Disco Freno Chevrolet Trooper, Rodeo 3.2 V6 98-03 </t>
  </si>
  <si>
    <t>BD9050</t>
  </si>
  <si>
    <t>569050/8970340343</t>
  </si>
  <si>
    <t>HF - 28E</t>
  </si>
  <si>
    <t>YQ6970</t>
  </si>
  <si>
    <t>Disco Freno Chevrolet Vitara 3P, Jimmy Samurai 91-04/ Tracker 89&lt;</t>
  </si>
  <si>
    <t>BD6970</t>
  </si>
  <si>
    <t>96058796/5521160A00</t>
  </si>
  <si>
    <t>HF - 21C</t>
  </si>
  <si>
    <t>YQ5600</t>
  </si>
  <si>
    <t>Disco Freno Chevrolet Vitara 5P 91-99</t>
  </si>
  <si>
    <t>BD5600</t>
  </si>
  <si>
    <t>30012150/5521156B00</t>
  </si>
  <si>
    <t>HF - 21B</t>
  </si>
  <si>
    <t>YQ4802</t>
  </si>
  <si>
    <t xml:space="preserve">Disco Freno Chevrolet Vitara SZ 2.0-2.4 08-19 Post. </t>
  </si>
  <si>
    <t>BD4802</t>
  </si>
  <si>
    <t>5561177K01</t>
  </si>
  <si>
    <t>HF - 302E</t>
  </si>
  <si>
    <t>YQ4803</t>
  </si>
  <si>
    <t>Disco Freno Chevrolet Vitara SZ 2.0-2.7 08-18</t>
  </si>
  <si>
    <t>BD4803</t>
  </si>
  <si>
    <t>5521165J00/5521165J01</t>
  </si>
  <si>
    <t>HF - 302A</t>
  </si>
  <si>
    <t>YQ3973</t>
  </si>
  <si>
    <t>Disco Freno Crevrolet Trail Blazer 4X2 4X4 14&gt;</t>
  </si>
  <si>
    <t>BD3973</t>
  </si>
  <si>
    <t>HF - 21H</t>
  </si>
  <si>
    <t>YQ3974</t>
  </si>
  <si>
    <t>Disco Freno Crevrolet Trail Blazer 4X2 4X4 17</t>
  </si>
  <si>
    <t>BD3974</t>
  </si>
  <si>
    <t>HF - 21G</t>
  </si>
  <si>
    <t>YQ3115</t>
  </si>
  <si>
    <t>Disco Freno Dfsk Glory 560 4X2 TM 1.8 19-24</t>
  </si>
  <si>
    <t>YQSA01</t>
  </si>
  <si>
    <t>3501101-SA01</t>
  </si>
  <si>
    <t>HF - 9465</t>
  </si>
  <si>
    <t>HF - 9466</t>
  </si>
  <si>
    <t>YQ3511</t>
  </si>
  <si>
    <t>Disco Freno Dfsk Glory 580 / Mini van C37 1.5 18-24</t>
  </si>
  <si>
    <t>YQCA01</t>
  </si>
  <si>
    <t>3501101-CA01</t>
  </si>
  <si>
    <t>YQ8300</t>
  </si>
  <si>
    <t>Disco Freno Fiat 125 128 131 131 147</t>
  </si>
  <si>
    <t>BD8300</t>
  </si>
  <si>
    <t>HF - 31A</t>
  </si>
  <si>
    <t>YQ5056</t>
  </si>
  <si>
    <t>Disco Freno Fiat Palio, Weekend, Adventure</t>
  </si>
  <si>
    <t>BD5056</t>
  </si>
  <si>
    <t>HF - 30</t>
  </si>
  <si>
    <t>YQ1815</t>
  </si>
  <si>
    <t xml:space="preserve">Disco Freno Fiat Uno, Premio, Fiorino 86-94 </t>
  </si>
  <si>
    <t>BD1815</t>
  </si>
  <si>
    <t>HF - 31</t>
  </si>
  <si>
    <t>YQ5212</t>
  </si>
  <si>
    <t>Disco Freno Ford Ecosport, 2.0 12&gt;</t>
  </si>
  <si>
    <t>BD5212</t>
  </si>
  <si>
    <t>CN151125A</t>
  </si>
  <si>
    <t>HF - 18J</t>
  </si>
  <si>
    <t>YQ5344</t>
  </si>
  <si>
    <t>Disco Freno Ford Ecosport, Focus, Fiesta 03-16</t>
  </si>
  <si>
    <t>BD5344</t>
  </si>
  <si>
    <t>HF - 18B</t>
  </si>
  <si>
    <t>YQ1081</t>
  </si>
  <si>
    <t>Disco Freno Ford Edge 3.5 09-15</t>
  </si>
  <si>
    <t>YQ6187</t>
  </si>
  <si>
    <t>BD1081</t>
  </si>
  <si>
    <t>BD6187</t>
  </si>
  <si>
    <t>52009374AC</t>
  </si>
  <si>
    <t>7T4Z1125A</t>
  </si>
  <si>
    <t>HF - 260A</t>
  </si>
  <si>
    <t>HF - 261</t>
  </si>
  <si>
    <t>YQ3937</t>
  </si>
  <si>
    <t>Disco Freno Ford Escape Focus 2.0 08&gt;</t>
  </si>
  <si>
    <t>BD3937</t>
  </si>
  <si>
    <t>BD.3937</t>
  </si>
  <si>
    <t>HF - 807A</t>
  </si>
  <si>
    <t>YQ7928</t>
  </si>
  <si>
    <t>Disco Freno Ford Explore 95-01, Explorer Sport 98-02</t>
  </si>
  <si>
    <t>BD7928</t>
  </si>
  <si>
    <t>5464070A00</t>
  </si>
  <si>
    <t>HF - 16M</t>
  </si>
  <si>
    <t>YQ1413</t>
  </si>
  <si>
    <t>Disco Freno Ford Explorer 2.0 3.5 11&gt;</t>
  </si>
  <si>
    <t>YQ2561</t>
  </si>
  <si>
    <t>BD1413</t>
  </si>
  <si>
    <t>BD2561</t>
  </si>
  <si>
    <t>CB5Z1125A</t>
  </si>
  <si>
    <t>HF - 9353</t>
  </si>
  <si>
    <t>HF - 9343</t>
  </si>
  <si>
    <t>YQ6545</t>
  </si>
  <si>
    <t>Disco freno Ford F-150 4.5 12-18</t>
  </si>
  <si>
    <t>BD6545</t>
  </si>
  <si>
    <t>CL3Z2C026A</t>
  </si>
  <si>
    <t>HF - 9350</t>
  </si>
  <si>
    <t>YQ3252</t>
  </si>
  <si>
    <t>Disco Freno Ford Festiva, Kia Pride 1.1-1.3 91-01</t>
  </si>
  <si>
    <t>BD3252</t>
  </si>
  <si>
    <t>DA0133251</t>
  </si>
  <si>
    <t>HF - 355</t>
  </si>
  <si>
    <t>YQ1064</t>
  </si>
  <si>
    <t>Disco Freno Ford Fiesta (Brasileiro) 1.3 1.4 1.8 96-03</t>
  </si>
  <si>
    <t>BD1064</t>
  </si>
  <si>
    <t>HF - 10A</t>
  </si>
  <si>
    <t>YQ5082</t>
  </si>
  <si>
    <t>Disco Freno Ford Ranger 4X4 07-11, Explorer Sport Trac 01-06</t>
  </si>
  <si>
    <t>BD5082</t>
  </si>
  <si>
    <t>1F6033251A</t>
  </si>
  <si>
    <t>HF - 16P</t>
  </si>
  <si>
    <t>YQ0005</t>
  </si>
  <si>
    <t>Disco Freno Furgoneta Asia Hi-Topic 2.2 2.7 92-95</t>
  </si>
  <si>
    <t>BD0005</t>
  </si>
  <si>
    <t>AA70A16460</t>
  </si>
  <si>
    <t>HF - 450</t>
  </si>
  <si>
    <t>YQ4133</t>
  </si>
  <si>
    <t>Disco Freno Great Wall Hover M4 1.5 14-21</t>
  </si>
  <si>
    <t>BD4133</t>
  </si>
  <si>
    <t>3501011-S08</t>
  </si>
  <si>
    <t>YQ9055</t>
  </si>
  <si>
    <t>Disco Freno Great Wall Wingle 5 2.0 4X4 19-24 (Diesel)</t>
  </si>
  <si>
    <t>BD9055</t>
  </si>
  <si>
    <t>3103102XK00XB</t>
  </si>
  <si>
    <t>HF - 9472</t>
  </si>
  <si>
    <t>YQ9468</t>
  </si>
  <si>
    <t>Disco Freno Great Wall Wingle H4-H5, 7 2.0 4X4 19-24 (Diesel)</t>
  </si>
  <si>
    <t>HF - 9468</t>
  </si>
  <si>
    <t>YQ1700</t>
  </si>
  <si>
    <t>Disco Freno Honda Civic 93-95</t>
  </si>
  <si>
    <t>BD1700</t>
  </si>
  <si>
    <t>45251SK7A00</t>
  </si>
  <si>
    <t>HF - 700</t>
  </si>
  <si>
    <t>YQ2913</t>
  </si>
  <si>
    <t>Disco Freno Honda CRV 2.4 07-16</t>
  </si>
  <si>
    <t>YQ2914</t>
  </si>
  <si>
    <t>BD2913</t>
  </si>
  <si>
    <t>BD2914</t>
  </si>
  <si>
    <t>42510S9AE50</t>
  </si>
  <si>
    <t>45251STKA00</t>
  </si>
  <si>
    <t>HF - 712A</t>
  </si>
  <si>
    <t>YQ1008</t>
  </si>
  <si>
    <t>Disco Freno Hyundai Accent Verna 1.3-1.5 00-03</t>
  </si>
  <si>
    <t>BD1008</t>
  </si>
  <si>
    <t>HF - 102A</t>
  </si>
  <si>
    <t>YQ5201</t>
  </si>
  <si>
    <t>Disco Freno Hyundai Accent Verna/ Kia Rio, Stonic 1.4 1.6 19&gt;</t>
  </si>
  <si>
    <t>BD5201</t>
  </si>
  <si>
    <t>58411-0U300</t>
  </si>
  <si>
    <t>HF - 9396</t>
  </si>
  <si>
    <t>YB2000</t>
  </si>
  <si>
    <t>Disco Freno Hyundai Atos 1.1 98-00</t>
  </si>
  <si>
    <t>BD2000</t>
  </si>
  <si>
    <t>51712202000</t>
  </si>
  <si>
    <t>HF - 105</t>
  </si>
  <si>
    <t>YQ0550</t>
  </si>
  <si>
    <t>Disco Freno Hyundai Atos Prime 07&lt;</t>
  </si>
  <si>
    <t>BD0550</t>
  </si>
  <si>
    <t>BR06-101/5171202550</t>
  </si>
  <si>
    <t>HF - 106</t>
  </si>
  <si>
    <t>YQ2903</t>
  </si>
  <si>
    <t>Disco Freno Hyundai Elantra 1.6 07-10/ Kia Cerato 2.0 06</t>
  </si>
  <si>
    <t>BD2903</t>
  </si>
  <si>
    <t>517122F100</t>
  </si>
  <si>
    <t>HF - 358</t>
  </si>
  <si>
    <t>YQ2830</t>
  </si>
  <si>
    <t>Disco Freno Hyundai Elantra 1.6 92&gt;</t>
  </si>
  <si>
    <t>BD2830</t>
  </si>
  <si>
    <t>HF - 104</t>
  </si>
  <si>
    <t>YQ5182</t>
  </si>
  <si>
    <t>Disco Freno Hyundai Elantra 1.8/ Kia Cerato, Stonic, Sonet 1.6 20&gt;</t>
  </si>
  <si>
    <t>BD5182</t>
  </si>
  <si>
    <t>517122V000/517123X000</t>
  </si>
  <si>
    <t>HF - 358C</t>
  </si>
  <si>
    <t>YQ5167</t>
  </si>
  <si>
    <t>Disco Freno Hyundai Elantra, Veloster 16 1.8 10-15/ Creta1.5, Seltos 1.6 20-24</t>
  </si>
  <si>
    <t>BD5167</t>
  </si>
  <si>
    <t>584113X300</t>
  </si>
  <si>
    <t>HF - 358E</t>
  </si>
  <si>
    <t>YQ0570</t>
  </si>
  <si>
    <t>Disco Freno Hyundai Getz 1.6 04-11</t>
  </si>
  <si>
    <t>BD0570</t>
  </si>
  <si>
    <t>HF - 102F</t>
  </si>
  <si>
    <t>YQ7510</t>
  </si>
  <si>
    <t>Disco Freno Hyundai Grna I10 1.2 14&gt;</t>
  </si>
  <si>
    <t>BD7510</t>
  </si>
  <si>
    <t>YQ0200</t>
  </si>
  <si>
    <t>Disco Freno Hyundai H1 Starex 05-07</t>
  </si>
  <si>
    <t>BD0200</t>
  </si>
  <si>
    <t>581294A000</t>
  </si>
  <si>
    <t>HF - 107</t>
  </si>
  <si>
    <t>YQ5127</t>
  </si>
  <si>
    <t xml:space="preserve">Disco Freno Hyundai H1 TQ </t>
  </si>
  <si>
    <t>BD5127</t>
  </si>
  <si>
    <t>517124H500</t>
  </si>
  <si>
    <t>HF - 107A</t>
  </si>
  <si>
    <t>YQ0100</t>
  </si>
  <si>
    <t>Disco Freno Hyundai H100, H150 (Gasolina)</t>
  </si>
  <si>
    <t>BD0100</t>
  </si>
  <si>
    <t>58129440010</t>
  </si>
  <si>
    <t>HF - 100</t>
  </si>
  <si>
    <t>YQ5206</t>
  </si>
  <si>
    <t xml:space="preserve">Disco Freno Hyundai New Accent Verna 1.6 19-21/ Kia Rio, Soluto, 1.4, Picanto EX 1.2 18-23 R14 </t>
  </si>
  <si>
    <t>BD5206</t>
  </si>
  <si>
    <t>517121S300/517121R000</t>
  </si>
  <si>
    <t>HF - 325L</t>
  </si>
  <si>
    <t>YQ5101</t>
  </si>
  <si>
    <t>Disco Freno Hyundai New Accent Vision 1.6 06-11/ Kia Rio Xcite 12&lt;</t>
  </si>
  <si>
    <t>BD5101</t>
  </si>
  <si>
    <t>517121G000</t>
  </si>
  <si>
    <t>HF - 360</t>
  </si>
  <si>
    <t>YQ2135</t>
  </si>
  <si>
    <t xml:space="preserve">Disco Freno Hyundai Pony 1.3-1.4 94-09, Accent Excel 1.5 92-95 </t>
  </si>
  <si>
    <t>BD2135</t>
  </si>
  <si>
    <t>HF - 102</t>
  </si>
  <si>
    <t>YQ4051</t>
  </si>
  <si>
    <t>Disco Freno Hyundai Santa Fe 2.2 2.4 2.7 06-12</t>
  </si>
  <si>
    <t>YQ5110</t>
  </si>
  <si>
    <t>BD4051</t>
  </si>
  <si>
    <t>BD5110</t>
  </si>
  <si>
    <t>517123J000</t>
  </si>
  <si>
    <t>584110W000</t>
  </si>
  <si>
    <t>HF - 329</t>
  </si>
  <si>
    <t>HF - 329B</t>
  </si>
  <si>
    <t>YQ4106</t>
  </si>
  <si>
    <t>Disco Freno Hyundai Santa Fe 2.4 12-20</t>
  </si>
  <si>
    <t>BD4106</t>
  </si>
  <si>
    <t>517122W000</t>
  </si>
  <si>
    <t>HF - 329G</t>
  </si>
  <si>
    <t>YQ5107</t>
  </si>
  <si>
    <t>Disco Freno Hyundai Santa fe 2.7 07-11/ Kia Sorento 2.4 09-13</t>
  </si>
  <si>
    <t>BD5107</t>
  </si>
  <si>
    <t>517122B000</t>
  </si>
  <si>
    <t>HF - 327A</t>
  </si>
  <si>
    <t>YQ2907</t>
  </si>
  <si>
    <t>Disco Freno Hyundai Tucson 2.0 4x4 13-16, 2.7 05-10/  Santa Fe 2.0-2.7-3.5 01-05</t>
  </si>
  <si>
    <t>BD2907</t>
  </si>
  <si>
    <t>584113A300</t>
  </si>
  <si>
    <t>HF - 325C</t>
  </si>
  <si>
    <t>YQ5171</t>
  </si>
  <si>
    <t>Disco Freno Hyundai Tucson 2.0/ Kia Sportage Active 05&gt;</t>
  </si>
  <si>
    <t>BD5171</t>
  </si>
  <si>
    <t>517121F300/517122E300</t>
  </si>
  <si>
    <t>HF - 325D</t>
  </si>
  <si>
    <t>YQ0586</t>
  </si>
  <si>
    <t xml:space="preserve">Disco Freno Hyundai Tucson IX 2.0 11&gt;/ Kia Sportage R 10-16/ Creta  </t>
  </si>
  <si>
    <t>BD0586</t>
  </si>
  <si>
    <t>517121M500/517123K160</t>
  </si>
  <si>
    <t>HF - 325N</t>
  </si>
  <si>
    <t>YQ0578</t>
  </si>
  <si>
    <t>Disco Freno Hyundai Tucson IX 2.0/ Kia Sportage R 10-16/ Hyundai Creta 1.6</t>
  </si>
  <si>
    <t>BD0578</t>
  </si>
  <si>
    <t>51712C1000</t>
  </si>
  <si>
    <t>HF - 329E</t>
  </si>
  <si>
    <t>YQ0581</t>
  </si>
  <si>
    <t xml:space="preserve">Disco Freno Hyundai Tucson IX 2.0/ Sonata Hybrido 2.0/ Kia Sportage 14-20 </t>
  </si>
  <si>
    <t>BD0581</t>
  </si>
  <si>
    <t>58411-1H300</t>
  </si>
  <si>
    <t>HF - 325P</t>
  </si>
  <si>
    <t>HF - 9436</t>
  </si>
  <si>
    <t>Disco Freno Hyundai Tucson NX4E 2.0 4X2, Kia Sportage 2.0 4X2 21-25</t>
  </si>
  <si>
    <t>HF - 9437</t>
  </si>
  <si>
    <t>YQ0579</t>
  </si>
  <si>
    <t>Disco Freno Hyundai Tucson, Sonata Hibri, Kia Spor. GT Line 16 17&lt;</t>
  </si>
  <si>
    <t>BD0579</t>
  </si>
  <si>
    <t>58411D3000</t>
  </si>
  <si>
    <t>HF - 329F</t>
  </si>
  <si>
    <t>YQ4052</t>
  </si>
  <si>
    <t>Disco Freno Hyundai Veracruz 3.8 08&gt;</t>
  </si>
  <si>
    <t>BD4052</t>
  </si>
  <si>
    <t>584113J000</t>
  </si>
  <si>
    <t>HF - 329A</t>
  </si>
  <si>
    <t>3504300P33A0</t>
  </si>
  <si>
    <t>Disco Freno Jac T6 T8 2.0 4X2 4X4</t>
  </si>
  <si>
    <t>HF - 9441</t>
  </si>
  <si>
    <t>Disco Freno Jetour X70 II 1.5 4X2 21.23</t>
  </si>
  <si>
    <t>HF - 9440</t>
  </si>
  <si>
    <t>YQ2902</t>
  </si>
  <si>
    <t>Disco Freno Kia Cerato 1.6 06-12/ Hyundai Elantra 2.0 03-04/ Matrix 1.6 1.8</t>
  </si>
  <si>
    <t>BD2902</t>
  </si>
  <si>
    <t>517122D300</t>
  </si>
  <si>
    <t>HF - 358A</t>
  </si>
  <si>
    <t>YQ5158</t>
  </si>
  <si>
    <t>Disco Freno Kia Cerato 2.0 11-17, 1.6 05-12</t>
  </si>
  <si>
    <t>BD5158</t>
  </si>
  <si>
    <t>517121M000</t>
  </si>
  <si>
    <t>HF - 358F</t>
  </si>
  <si>
    <t>YQ2703</t>
  </si>
  <si>
    <t xml:space="preserve">Disco Freno Kia K2700 2.7 4X4 01-14, K2500 2.5 08-18 </t>
  </si>
  <si>
    <t>BD2703</t>
  </si>
  <si>
    <t>OK63B33251A</t>
  </si>
  <si>
    <t>HF - 352B</t>
  </si>
  <si>
    <t>YQ7501</t>
  </si>
  <si>
    <t xml:space="preserve">Disco Freno Kia Picanto1.0 G3LA HB-5P, 1.2  G4LA HB-5P 20-24 </t>
  </si>
  <si>
    <t>BD7501</t>
  </si>
  <si>
    <t>51712-G6000</t>
  </si>
  <si>
    <t>YQ5209</t>
  </si>
  <si>
    <t xml:space="preserve">Disco Freno Kia Picanto1.0 G3LA HB-5P, 1.2 G4LA HB-5P 17-20  </t>
  </si>
  <si>
    <t>BD5209</t>
  </si>
  <si>
    <t>51712-G6300</t>
  </si>
  <si>
    <t>YQ7500</t>
  </si>
  <si>
    <t>Disco Freno Kia Picanto1.0-1.1 05-11</t>
  </si>
  <si>
    <t>BD7500</t>
  </si>
  <si>
    <t>HF - 359</t>
  </si>
  <si>
    <t>YQ0004</t>
  </si>
  <si>
    <t>Disco Freno Kia Pregio 2.7 3.0 97-04</t>
  </si>
  <si>
    <t>BD0004</t>
  </si>
  <si>
    <t>OK72F-33-251A/78932330004</t>
  </si>
  <si>
    <t>HF - 353</t>
  </si>
  <si>
    <t>YQ5207</t>
  </si>
  <si>
    <t>Disco Freno Kia Rio 1.6 16-21, Stonic 1.0 21-24 (Hybrido)</t>
  </si>
  <si>
    <t>BD5207</t>
  </si>
  <si>
    <t>517121W000</t>
  </si>
  <si>
    <t>HF - 360A</t>
  </si>
  <si>
    <t>YQ3246</t>
  </si>
  <si>
    <t>Disco Freno Kia Rio Stylus 04-13</t>
  </si>
  <si>
    <t>BD3246</t>
  </si>
  <si>
    <t>51712-FD200</t>
  </si>
  <si>
    <t>HF - 360B</t>
  </si>
  <si>
    <t>YQ5184</t>
  </si>
  <si>
    <t>Disco Freno Kia Sorento 2.4 3.5 09-13</t>
  </si>
  <si>
    <t>BD5184</t>
  </si>
  <si>
    <t>517121U000</t>
  </si>
  <si>
    <t>HF - 329D</t>
  </si>
  <si>
    <t>YQ1712</t>
  </si>
  <si>
    <t>Disco Freno Kia Sorento 2.5 3.5 04-06</t>
  </si>
  <si>
    <t>BD1712</t>
  </si>
  <si>
    <t>HF - 326A</t>
  </si>
  <si>
    <t>YQ0008</t>
  </si>
  <si>
    <t>Disco Freno Kia Sportage Wago 4x2 4x4 94-04</t>
  </si>
  <si>
    <t>BD0008</t>
  </si>
  <si>
    <t>OK01133.25XC</t>
  </si>
  <si>
    <t>HF - 325</t>
  </si>
  <si>
    <t>YQ3272</t>
  </si>
  <si>
    <t>Disco Freno Mazda 3 2.0 04-11 / Mazda 3 sport 2.0 10-11</t>
  </si>
  <si>
    <t>BD3272</t>
  </si>
  <si>
    <t>HF - 863A</t>
  </si>
  <si>
    <t>YQ3565</t>
  </si>
  <si>
    <t>Disco Freno Mazda 3 2.0 13-19 / Mazda CX3 2.0 15-23</t>
  </si>
  <si>
    <t>BD3565</t>
  </si>
  <si>
    <t>YQ3255</t>
  </si>
  <si>
    <t>Disco Freno Mazda 323 02-06</t>
  </si>
  <si>
    <t>BD3255</t>
  </si>
  <si>
    <t>B26Y3325XA</t>
  </si>
  <si>
    <t>HF - 864</t>
  </si>
  <si>
    <t>YQ3251</t>
  </si>
  <si>
    <t xml:space="preserve">Disco Freno Mazda 323 1.3 84-89 </t>
  </si>
  <si>
    <t>BD3251</t>
  </si>
  <si>
    <t>B00133251</t>
  </si>
  <si>
    <t>HF - 860</t>
  </si>
  <si>
    <t>YQ3261</t>
  </si>
  <si>
    <t>Disco Freno Mazda 323 1.5 NT NX</t>
  </si>
  <si>
    <t>BD3261</t>
  </si>
  <si>
    <t>BR01-102/B10733251</t>
  </si>
  <si>
    <t>HF - 867</t>
  </si>
  <si>
    <t>YQ3268</t>
  </si>
  <si>
    <t>Disco Freno Mazda 6 2.0 02-07/ Ford Fusion 05-12</t>
  </si>
  <si>
    <t>BD3268</t>
  </si>
  <si>
    <t>5DA033251</t>
  </si>
  <si>
    <t>HF - 15G</t>
  </si>
  <si>
    <t>YQ7336</t>
  </si>
  <si>
    <t>Disco Freno Mazda 6 2.0 13&gt;, CX5 2.0 2.5 12-24</t>
  </si>
  <si>
    <t>BD7336/7385</t>
  </si>
  <si>
    <t>BD.7336/BD.7385</t>
  </si>
  <si>
    <t>HF - 9342</t>
  </si>
  <si>
    <t>YQ3258</t>
  </si>
  <si>
    <t xml:space="preserve">Disco Freno Mazda 626 91-97 </t>
  </si>
  <si>
    <t>BD3258</t>
  </si>
  <si>
    <t>F32E1125A</t>
  </si>
  <si>
    <t>HF - 860A</t>
  </si>
  <si>
    <t>YQ3256</t>
  </si>
  <si>
    <t>Disco Freno Mazda Alegro 1.6 00-08</t>
  </si>
  <si>
    <t>BD3256</t>
  </si>
  <si>
    <t>BB7E3325XA</t>
  </si>
  <si>
    <t>HF - 865</t>
  </si>
  <si>
    <t>YQ3265</t>
  </si>
  <si>
    <t xml:space="preserve">Disco Freno Mazda Alegro 323 1.3-1.5 98&gt; </t>
  </si>
  <si>
    <t>BD3265</t>
  </si>
  <si>
    <t>BJ0Y3325X</t>
  </si>
  <si>
    <t>HF - 868</t>
  </si>
  <si>
    <t>YQ0001</t>
  </si>
  <si>
    <t>Disco Freno Mazda B 2.0-2.2-2.6/ Kia Besta 2.2 93&gt;</t>
  </si>
  <si>
    <t>BD0001</t>
  </si>
  <si>
    <t>UB39-33-251</t>
  </si>
  <si>
    <t>HF - 351</t>
  </si>
  <si>
    <t>HF - 867A</t>
  </si>
  <si>
    <t>Disco Freno Mazda B2.6 Inyeccion 00-06</t>
  </si>
  <si>
    <t>YQ7916</t>
  </si>
  <si>
    <t>Disco Freno Mazda BT-50 3.2 17&gt;/ Ford Ranger 2.2-3.2 12&gt;</t>
  </si>
  <si>
    <t>BD7916</t>
  </si>
  <si>
    <t>AB31 1125AA</t>
  </si>
  <si>
    <t>HF - 16R</t>
  </si>
  <si>
    <t>YQ6032</t>
  </si>
  <si>
    <t xml:space="preserve">Disco Freno Mazda BT-50 4x2 4x4, B2.6 4x4 07&lt;/ Ford Ranger 4x2 07-12 </t>
  </si>
  <si>
    <t>BD6032</t>
  </si>
  <si>
    <t>UM5133251</t>
  </si>
  <si>
    <t>HF - 16T</t>
  </si>
  <si>
    <t>YQ0007</t>
  </si>
  <si>
    <t>Disco Freno Mazda BT-50 4x2-4x4, B2.6 4x4 07&gt;/ Ford Ranger 07-12</t>
  </si>
  <si>
    <t>BD0007</t>
  </si>
  <si>
    <t>UH7133251</t>
  </si>
  <si>
    <t>HF - 352</t>
  </si>
  <si>
    <t>YQ3280</t>
  </si>
  <si>
    <t>Disco Freno Mazda CX-30 2.0 5P 4X2 TM</t>
  </si>
  <si>
    <t>BD3280</t>
  </si>
  <si>
    <t>BDWK33251</t>
  </si>
  <si>
    <t>YQ0191</t>
  </si>
  <si>
    <t xml:space="preserve">Disco Freno Mercedes Benz Sprinter 310 311 313 413 415/ Crafter T30 </t>
  </si>
  <si>
    <t>BD0191</t>
  </si>
  <si>
    <t>2E0615601A</t>
  </si>
  <si>
    <t>HF - 471H</t>
  </si>
  <si>
    <t>YQ0190</t>
  </si>
  <si>
    <t>Disco Freno Mercedes Benz Sprinter 310 311 313 413 415/ Crafter T30 T50 06&gt;/ Foton CS2, King Long</t>
  </si>
  <si>
    <t>BD0190</t>
  </si>
  <si>
    <t>HF - 471F</t>
  </si>
  <si>
    <t>YQ0186</t>
  </si>
  <si>
    <t>Disco Freno Mercedes Benz Sprinter 316 3.5T 01-06</t>
  </si>
  <si>
    <t>YQ0189</t>
  </si>
  <si>
    <t>BD0186</t>
  </si>
  <si>
    <t>BD0189</t>
  </si>
  <si>
    <t>HF - 471B</t>
  </si>
  <si>
    <t>HF - 471C</t>
  </si>
  <si>
    <t>YQ0192</t>
  </si>
  <si>
    <t>Disco Freno Mercedes Benz Sprinter 413 415 515 06&gt;</t>
  </si>
  <si>
    <t>BD0192</t>
  </si>
  <si>
    <t>2E0615601</t>
  </si>
  <si>
    <t>HF - 471J</t>
  </si>
  <si>
    <t>YQ4644</t>
  </si>
  <si>
    <t>Disco Freno Mitsubishi ASX 2.0 11&gt; / Outlander 2.0 2.4 3.0, Jeep Compas 2.0 12&gt;</t>
  </si>
  <si>
    <t>BD4644</t>
  </si>
  <si>
    <t>4515A117</t>
  </si>
  <si>
    <t>HF - 208</t>
  </si>
  <si>
    <t>YQ0201</t>
  </si>
  <si>
    <t>Disco Freno Mitsubishi L200 4x2 89&gt;</t>
  </si>
  <si>
    <t>BD0201</t>
  </si>
  <si>
    <t>MB407031</t>
  </si>
  <si>
    <t>HF - 200</t>
  </si>
  <si>
    <t>YQ9282</t>
  </si>
  <si>
    <t xml:space="preserve">Disco Freno Mitsubishi Lancer 1.6 96-99/ Galan 2.0 </t>
  </si>
  <si>
    <t>BD9282</t>
  </si>
  <si>
    <t>MB699282</t>
  </si>
  <si>
    <t>HF - 210B</t>
  </si>
  <si>
    <t>YQ8067</t>
  </si>
  <si>
    <t>Disco Freno Mitsubishi Montero 03-08</t>
  </si>
  <si>
    <t>BD8067</t>
  </si>
  <si>
    <t>MR418067</t>
  </si>
  <si>
    <t>HF - 206A</t>
  </si>
  <si>
    <t>YQ8716</t>
  </si>
  <si>
    <t xml:space="preserve">Disco Freno Mitsubishi Montero 2.5-2.7-3.0-3.5 91-00 </t>
  </si>
  <si>
    <t>BD8716</t>
  </si>
  <si>
    <t>MB618716</t>
  </si>
  <si>
    <t>HF - 200C</t>
  </si>
  <si>
    <t>YQ7019</t>
  </si>
  <si>
    <t>Disco Freno Mitsubishi Montero Sportero 3.2-3.5 08-16</t>
  </si>
  <si>
    <t>BD7019</t>
  </si>
  <si>
    <t>MN102276</t>
  </si>
  <si>
    <t>HF - 200G</t>
  </si>
  <si>
    <t>YQ7038</t>
  </si>
  <si>
    <t>Disco Freno Mitsubishi Montero Wagon 4P 2.5 91-93, L200 92-02</t>
  </si>
  <si>
    <t>BD7038</t>
  </si>
  <si>
    <t>MB407038</t>
  </si>
  <si>
    <t>HF - 200A</t>
  </si>
  <si>
    <t>YQ4635</t>
  </si>
  <si>
    <t>Disco Freno Mitsubishi Oulander 2.0-2.2-3.0, 16&gt; ASX 2.0 11&lt;, Eclipce cross 2.0 11&gt;</t>
  </si>
  <si>
    <t>4615A125/CA350135</t>
  </si>
  <si>
    <t>HF - 208C</t>
  </si>
  <si>
    <t>YQ4648</t>
  </si>
  <si>
    <t>Disco Freno Mitsubishi Oulander 2.0-2.4-3.0, Lancer ASX 2.0 11&lt;, Jeep Compa</t>
  </si>
  <si>
    <t>BD4648</t>
  </si>
  <si>
    <t>4743999AA</t>
  </si>
  <si>
    <t>HF - 208A</t>
  </si>
  <si>
    <t>YQ2067</t>
  </si>
  <si>
    <t>Disco Freno Nissan Frontier 2WD 98-04, Renault  (EF)</t>
  </si>
  <si>
    <t>BD2067</t>
  </si>
  <si>
    <t>402062S400</t>
  </si>
  <si>
    <t>HF - 617</t>
  </si>
  <si>
    <t>BD1158</t>
  </si>
  <si>
    <t>Disco Freno Nissan Frontier CS XE CD SE 2.8 02-08 (Diesel)  (EG)</t>
  </si>
  <si>
    <t>YQ4198</t>
  </si>
  <si>
    <t xml:space="preserve">Disco Freno Nissan Frontier NP300 2.5 4x2 4x4 09-16  </t>
  </si>
  <si>
    <t>BD4198</t>
  </si>
  <si>
    <t>402064KH1B</t>
  </si>
  <si>
    <t>HF - 600B</t>
  </si>
  <si>
    <t>YQ3101</t>
  </si>
  <si>
    <t>Disco Freno Nissan Frontier Pathfinder 2.4 2.7 3.0 87&gt; (E-G)</t>
  </si>
  <si>
    <t>BD3101</t>
  </si>
  <si>
    <t>402060F000</t>
  </si>
  <si>
    <t>HF - 600</t>
  </si>
  <si>
    <t>YQ3501</t>
  </si>
  <si>
    <t>Disco Freno Nissan Frontier Pathfinder 2.4 85-96</t>
  </si>
  <si>
    <t>BD3501</t>
  </si>
  <si>
    <t>4020610W00</t>
  </si>
  <si>
    <t>HF - 600A</t>
  </si>
  <si>
    <t>YQ4200</t>
  </si>
  <si>
    <t xml:space="preserve">Disco Freno Nissan Frontier Pathfinder 2.5-2.8 4x4 02-16 </t>
  </si>
  <si>
    <t>BD4200</t>
  </si>
  <si>
    <t>40206EA00A</t>
  </si>
  <si>
    <t>HF - 618B</t>
  </si>
  <si>
    <t>YQ2772</t>
  </si>
  <si>
    <t>Disco Freno Nissan Frontier Pathfinder 4X4 99-04 (Con Estrella)</t>
  </si>
  <si>
    <t>BD2772</t>
  </si>
  <si>
    <t>402061W600</t>
  </si>
  <si>
    <t>HF - 618</t>
  </si>
  <si>
    <t>YQ6744</t>
  </si>
  <si>
    <t>Disco Freno Nissan Frontier Pick UP 2.5 92-04 (EG)</t>
  </si>
  <si>
    <t>BD6744</t>
  </si>
  <si>
    <t>4020602N00</t>
  </si>
  <si>
    <t>HF - 600C</t>
  </si>
  <si>
    <t>YQ2071</t>
  </si>
  <si>
    <t>Disco Freno Nissan Qashqai 1.6 4X2, X-Trail T32 2.2 2.5 14-23, Renaul Koleos</t>
  </si>
  <si>
    <t>YQ2089</t>
  </si>
  <si>
    <t>BD2071</t>
  </si>
  <si>
    <t>BD2089</t>
  </si>
  <si>
    <t>HF-619B</t>
  </si>
  <si>
    <t>HF-619A</t>
  </si>
  <si>
    <t>432068H305</t>
  </si>
  <si>
    <t>40206JG00A</t>
  </si>
  <si>
    <t>YQ4206</t>
  </si>
  <si>
    <t>Disco Freno Nissan Sentra 1.8-2.0 07&gt;</t>
  </si>
  <si>
    <t>BD4206</t>
  </si>
  <si>
    <t>40206T00A</t>
  </si>
  <si>
    <t>HF - 615</t>
  </si>
  <si>
    <t>YQ2064</t>
  </si>
  <si>
    <t>Disco Freno Nissan Sentra 2.0 13&gt;</t>
  </si>
  <si>
    <t>BD2064</t>
  </si>
  <si>
    <t>402063SG0A</t>
  </si>
  <si>
    <t>HF - 615G</t>
  </si>
  <si>
    <t>YQ5800</t>
  </si>
  <si>
    <t>Disco Freno Nissan Sentra B13 1.6 91-925/ Kia Picanto 1.0-1.1 05-11</t>
  </si>
  <si>
    <t>BD5800</t>
  </si>
  <si>
    <t>40206-58A00</t>
  </si>
  <si>
    <t>HF - 609</t>
  </si>
  <si>
    <t>YQ8120</t>
  </si>
  <si>
    <t>Disco Freno Nissan Sentra B13 86-90</t>
  </si>
  <si>
    <t>BD8120</t>
  </si>
  <si>
    <t>4020661A01</t>
  </si>
  <si>
    <t>HF - 610</t>
  </si>
  <si>
    <t>YQ7101</t>
  </si>
  <si>
    <t>Disco Freno Nissan Sentra B15 1.8 16V 01-06</t>
  </si>
  <si>
    <t>BD7101</t>
  </si>
  <si>
    <t>HF - 607</t>
  </si>
  <si>
    <t>YQ4738</t>
  </si>
  <si>
    <t>Disco Freno Nissan Tiida 1.6-1.8 07-16</t>
  </si>
  <si>
    <t>BD4738</t>
  </si>
  <si>
    <t>40206EE51A</t>
  </si>
  <si>
    <t>HF - 613</t>
  </si>
  <si>
    <t>YQ4740</t>
  </si>
  <si>
    <t xml:space="preserve">Disco Freno Nissan Versa 1.6, March 1.6 12&gt; </t>
  </si>
  <si>
    <t>BD4740</t>
  </si>
  <si>
    <t>402061HL0A</t>
  </si>
  <si>
    <t>HF - 615B</t>
  </si>
  <si>
    <t>YQ4758</t>
  </si>
  <si>
    <t>Disco Freno Nissan Versa, Kicks 1.6 17-20</t>
  </si>
  <si>
    <t>BD4758</t>
  </si>
  <si>
    <t>402065RA2A/RB0A</t>
  </si>
  <si>
    <t>HF - 615D</t>
  </si>
  <si>
    <t>YQ4107</t>
  </si>
  <si>
    <t>Disco Freno Nissan X-Trail T30 2.0 2.5 02-08/ Primera 1.6-1.8-2.0</t>
  </si>
  <si>
    <t>BD4107</t>
  </si>
  <si>
    <t>402064U107</t>
  </si>
  <si>
    <t>HF - 619</t>
  </si>
  <si>
    <t>YQ2059</t>
  </si>
  <si>
    <t>Disco Freno Nissan X-Trail T30 2.0 2.5 23&gt;, Qashqai 2.0 2.5 23&gt;</t>
  </si>
  <si>
    <t>BD2059</t>
  </si>
  <si>
    <t>40206T01A</t>
  </si>
  <si>
    <t>YQ4298</t>
  </si>
  <si>
    <t>Disco Freno Peugeot 206 1.4 (C/ABS) 98&gt;/  Lifan 520</t>
  </si>
  <si>
    <t>BD4298</t>
  </si>
  <si>
    <t>4246R8</t>
  </si>
  <si>
    <t>HF - 298</t>
  </si>
  <si>
    <t>YQ4608</t>
  </si>
  <si>
    <t>Disco Freno Peugeot 407 04-09, Citroen C5</t>
  </si>
  <si>
    <t>BD4608</t>
  </si>
  <si>
    <t>4246E.0</t>
  </si>
  <si>
    <t>HF - 752B</t>
  </si>
  <si>
    <t>YQ4685</t>
  </si>
  <si>
    <t>Disco Freno Peugeot 407 2.0 05-09</t>
  </si>
  <si>
    <t>BD4685</t>
  </si>
  <si>
    <t>4246P7</t>
  </si>
  <si>
    <t>HF - 685</t>
  </si>
  <si>
    <t>YQ6572</t>
  </si>
  <si>
    <t>Disco Freno Renault Clio, Megane 96-99</t>
  </si>
  <si>
    <t>BD6572</t>
  </si>
  <si>
    <t>7700756572/BR05-111.</t>
  </si>
  <si>
    <t>HF - 572</t>
  </si>
  <si>
    <t>YQ4009</t>
  </si>
  <si>
    <t>Disco Freno Renault Duster 1.6 17&lt;</t>
  </si>
  <si>
    <t>BD4009</t>
  </si>
  <si>
    <t>402066300R</t>
  </si>
  <si>
    <t>HF - 571A</t>
  </si>
  <si>
    <t>YQ4022</t>
  </si>
  <si>
    <t>Disco Freno Renault Duster 2.0 17&lt;</t>
  </si>
  <si>
    <t>BD4022</t>
  </si>
  <si>
    <t>402064151R</t>
  </si>
  <si>
    <t>HF - 571</t>
  </si>
  <si>
    <t>YQ3106</t>
  </si>
  <si>
    <t>Disco Freno Renault Kwid 1.0 23-24</t>
  </si>
  <si>
    <t>3H</t>
  </si>
  <si>
    <t>BD3106</t>
  </si>
  <si>
    <t>402066768R</t>
  </si>
  <si>
    <t>HF - 705B</t>
  </si>
  <si>
    <t>YQ4707</t>
  </si>
  <si>
    <t>Disco Freno Renault Logan 1.4 08&gt;</t>
  </si>
  <si>
    <t>BD4707</t>
  </si>
  <si>
    <t>HF - 570</t>
  </si>
  <si>
    <t>YQ3550</t>
  </si>
  <si>
    <t>Disco Freno Renault Logan 1.6 07-15/ Sandero 08&gt;, Megano</t>
  </si>
  <si>
    <t>BD3550</t>
  </si>
  <si>
    <t>7700780892/7700813549</t>
  </si>
  <si>
    <t>HF - 549</t>
  </si>
  <si>
    <t>YQ3108</t>
  </si>
  <si>
    <t xml:space="preserve">Disco Freno Renault Logan, Sandero, Nissan Tiida 1.6 15-19 </t>
  </si>
  <si>
    <t>BD3108</t>
  </si>
  <si>
    <t>77.01.20.77.95/7701208252</t>
  </si>
  <si>
    <t>HF - 549B</t>
  </si>
  <si>
    <t>YQ7829</t>
  </si>
  <si>
    <t>Disco Freno Renault Megane 1.6 16V 06&gt; Con ABS, Scenic 1.6 01-10</t>
  </si>
  <si>
    <t>BD7829</t>
  </si>
  <si>
    <t>HF - 829</t>
  </si>
  <si>
    <t>YQ2232</t>
  </si>
  <si>
    <t>Disco Freno Renault Megane 2.0 03-06/ Laguna 2.0 95-98</t>
  </si>
  <si>
    <t>BD2232</t>
  </si>
  <si>
    <t>HF - 232</t>
  </si>
  <si>
    <t>YQ6328</t>
  </si>
  <si>
    <t>Disco Freno Renault Scenic 1.6 16V 99-03 (Con Cubo)</t>
  </si>
  <si>
    <t>BD6328</t>
  </si>
  <si>
    <t>HF - 328</t>
  </si>
  <si>
    <t>YQ4287</t>
  </si>
  <si>
    <t>Disco Freno Renault Symbol Kangoo</t>
  </si>
  <si>
    <t>BD4287</t>
  </si>
  <si>
    <t>HF - 287</t>
  </si>
  <si>
    <t>YQ4705</t>
  </si>
  <si>
    <t>Disco Freno Renault Twingo, Clio 1.0 95-16</t>
  </si>
  <si>
    <t>BD4705</t>
  </si>
  <si>
    <t>HF - 705</t>
  </si>
  <si>
    <t>YQ3500</t>
  </si>
  <si>
    <t>Disco Freno Shineray SWM G01 19-24</t>
  </si>
  <si>
    <t>YQG001</t>
  </si>
  <si>
    <t>35G01</t>
  </si>
  <si>
    <t>HF - 9473</t>
  </si>
  <si>
    <t>Disco Freno Soueast DX3 Confort 1.5 4X2 TM 19-24</t>
  </si>
  <si>
    <t>HF - 9469</t>
  </si>
  <si>
    <t>23B02A024</t>
  </si>
  <si>
    <t>Disco Freno Soueast DX7 Prime 1.5 2.020</t>
  </si>
  <si>
    <t>HF - 9470</t>
  </si>
  <si>
    <t xml:space="preserve">Disco Freno Suzuki Swift ISG 1.2 4X2 TM 23-24 (Hybrido) </t>
  </si>
  <si>
    <t>YQ2100</t>
  </si>
  <si>
    <t>Disco Freno Toyota Corolla 1.6-1.8 03-08</t>
  </si>
  <si>
    <t>YQ2251</t>
  </si>
  <si>
    <t>BD2100</t>
  </si>
  <si>
    <t>BD2251</t>
  </si>
  <si>
    <t>43512-02060/4351202100</t>
  </si>
  <si>
    <t>4243102090/424310200</t>
  </si>
  <si>
    <t>HF - 507</t>
  </si>
  <si>
    <t>HF - 502</t>
  </si>
  <si>
    <t>YQ5441</t>
  </si>
  <si>
    <t xml:space="preserve">Disco Freno Toyota Corolla 1.6-1.8 08-14/ Corrolla 2.0 10-14 </t>
  </si>
  <si>
    <t>BD5441</t>
  </si>
  <si>
    <t>HF - 504</t>
  </si>
  <si>
    <t>YQ5030</t>
  </si>
  <si>
    <t>Disco Freno Toyota Corolla 1.6-1.8-2.0 97&lt;</t>
  </si>
  <si>
    <t>BD5030</t>
  </si>
  <si>
    <t>HF - 509</t>
  </si>
  <si>
    <t>YQ5442</t>
  </si>
  <si>
    <t>Disco Freno Toyota Corolla 1.8 08-17</t>
  </si>
  <si>
    <t>BD5442</t>
  </si>
  <si>
    <t>HF - 504A</t>
  </si>
  <si>
    <t>YQ4119</t>
  </si>
  <si>
    <t>Disco Freno Toyota Fortuner 2.7 4X4 17-24</t>
  </si>
  <si>
    <t>43512OK220</t>
  </si>
  <si>
    <t>HF - 512A</t>
  </si>
  <si>
    <t>YQ6190</t>
  </si>
  <si>
    <t xml:space="preserve">Disco Freno Toyota Hiace 02-14/ Foton View 14-19/ Jin Bei Haise 07-19 </t>
  </si>
  <si>
    <t>BD6190</t>
  </si>
  <si>
    <t>43512-26190</t>
  </si>
  <si>
    <t>HF - 493</t>
  </si>
  <si>
    <t>YQ6004</t>
  </si>
  <si>
    <t>Disco Freno Toyota Hilux 2.4 97-04/ 4-Runner 3.0 4x4 R15 98&lt;</t>
  </si>
  <si>
    <t>BD6004</t>
  </si>
  <si>
    <t>HF - 486</t>
  </si>
  <si>
    <t>YQ4113</t>
  </si>
  <si>
    <t>Disco Freno Toyota Hilux 2.5-2.7-3.0-4.0 04-15/ FJ Cruiser 4.0 07&gt; (R-16)</t>
  </si>
  <si>
    <t>BD4113</t>
  </si>
  <si>
    <t>43512OK150/43512-25320</t>
  </si>
  <si>
    <t>HF - 512</t>
  </si>
  <si>
    <t>YQ4120</t>
  </si>
  <si>
    <t>Disco Freno Toyota Hilux 2.7 4X2 16-22</t>
  </si>
  <si>
    <t>BD4120</t>
  </si>
  <si>
    <t>43512-OK170</t>
  </si>
  <si>
    <t>YQ4211</t>
  </si>
  <si>
    <t>Disco Freno Toyota Hilux 3.0 4x2 4x4 05-08/ Vigo 2.5 4x2 4x4 04-13</t>
  </si>
  <si>
    <t>BD4211</t>
  </si>
  <si>
    <t>43512OK080</t>
  </si>
  <si>
    <t>HF - 511</t>
  </si>
  <si>
    <t>YQ7034</t>
  </si>
  <si>
    <t>Disco Freno Toyota Hilux 4x2 2.7 (Argentina) 2007&lt;</t>
  </si>
  <si>
    <t>BD7034</t>
  </si>
  <si>
    <t>43512OK010</t>
  </si>
  <si>
    <t>HF - 500A</t>
  </si>
  <si>
    <t>YQ5180</t>
  </si>
  <si>
    <t>Disco Freno Toyota Hilux 4x2 93-04, Stout II / Jimbei/ Golden Dragon</t>
  </si>
  <si>
    <t>BD5180</t>
  </si>
  <si>
    <t>4351235180/43512-26040</t>
  </si>
  <si>
    <t>HF - 500</t>
  </si>
  <si>
    <t>YQ5190</t>
  </si>
  <si>
    <t xml:space="preserve">Disco Freno Toyota Hilux 4x4 92-04  </t>
  </si>
  <si>
    <t>BD5190</t>
  </si>
  <si>
    <t>HF - 482</t>
  </si>
  <si>
    <t>YQ2918</t>
  </si>
  <si>
    <t>Disco Freno Toyota Hilux Fortuner 4.0 4X4 SRX 16&gt;</t>
  </si>
  <si>
    <t>BD2918</t>
  </si>
  <si>
    <t>HF - 518</t>
  </si>
  <si>
    <t>YQ4118</t>
  </si>
  <si>
    <t>Disco Freno Toyota Hilux Revo 4x2 2.7 16-20/ Jac T6 T8 (R-16)</t>
  </si>
  <si>
    <t>BD4118</t>
  </si>
  <si>
    <t>435120K110/435120K250</t>
  </si>
  <si>
    <t>HF - 512C</t>
  </si>
  <si>
    <t>YQ7027</t>
  </si>
  <si>
    <t>Disco Freno Toyota Hilux Vigo 2.5 2.7 4x2 10-15</t>
  </si>
  <si>
    <t>BD7027</t>
  </si>
  <si>
    <t>43512OK120</t>
  </si>
  <si>
    <t>HF - 492E</t>
  </si>
  <si>
    <t>YQ2919</t>
  </si>
  <si>
    <t>Disco Freno Toyota Land Crusier Prado 4.0 4.5 84-03, Hilux 2.4 97-01</t>
  </si>
  <si>
    <t>BD2919</t>
  </si>
  <si>
    <t>HF - 518A</t>
  </si>
  <si>
    <t>YQ2917</t>
  </si>
  <si>
    <t>Disco Freno Toyota New Fortuner 2.7 4X4 17-24/ Jac T6 T8 4X2 4X4</t>
  </si>
  <si>
    <t>BD2917</t>
  </si>
  <si>
    <t>3504050P3031N</t>
  </si>
  <si>
    <t>HF - 512B</t>
  </si>
  <si>
    <t>431520K280</t>
  </si>
  <si>
    <t>Disco Freno Toyota New Hilux 2.4 2.7 2.8 4X4 21-24</t>
  </si>
  <si>
    <t>HF - 512D</t>
  </si>
  <si>
    <t>YQ5210</t>
  </si>
  <si>
    <t>Disco Freno Toyota Prado Land Crusier 3.4/ 4-Runner 95-01 R16</t>
  </si>
  <si>
    <t>BD5210</t>
  </si>
  <si>
    <t>HF - 485</t>
  </si>
  <si>
    <t>HF - 9438</t>
  </si>
  <si>
    <t>Disco Freno Toyota Raize 1.2 4X2 22-24</t>
  </si>
  <si>
    <t>YQ2078</t>
  </si>
  <si>
    <t>Disco Freno Toyota Rav4 2.0 00-05</t>
  </si>
  <si>
    <t>BD2078</t>
  </si>
  <si>
    <t>HF - 514</t>
  </si>
  <si>
    <t>YQ2882</t>
  </si>
  <si>
    <t>Disco Freno Toyota Rav4 2.4 06-12</t>
  </si>
  <si>
    <t>BD2882</t>
  </si>
  <si>
    <t>HF - 514B</t>
  </si>
  <si>
    <t>YQ3107</t>
  </si>
  <si>
    <t>Disco Freno Toyota Rav4 2.4 13-21</t>
  </si>
  <si>
    <t>HF - 515B</t>
  </si>
  <si>
    <t>YQ4137</t>
  </si>
  <si>
    <t>Disco Freno Toyota Rav4, Corolla Cross 19&gt;</t>
  </si>
  <si>
    <t>BD4137</t>
  </si>
  <si>
    <t>HF - 507A</t>
  </si>
  <si>
    <t>YQ1607</t>
  </si>
  <si>
    <t xml:space="preserve">Disco Freno Toyota Tercel 90-97 </t>
  </si>
  <si>
    <t>BD1607</t>
  </si>
  <si>
    <t>HF - 510</t>
  </si>
  <si>
    <t>YQ2038</t>
  </si>
  <si>
    <t>Disco Freno Toyota Yaris 1.0 1.5 05-18/ Nitro 1.3 06-13/ Corolla 1.5 12-14/ Prius 1.5 12-22</t>
  </si>
  <si>
    <t>BD2038</t>
  </si>
  <si>
    <t>HF - 9347</t>
  </si>
  <si>
    <t>YQ2120</t>
  </si>
  <si>
    <t>Disco Freno Toyota Yaris 1.5 18-23</t>
  </si>
  <si>
    <t>BD2120</t>
  </si>
  <si>
    <t>435120D160</t>
  </si>
  <si>
    <t>HF - 513</t>
  </si>
  <si>
    <t>YQ2020</t>
  </si>
  <si>
    <t xml:space="preserve">Disco Freno Toyota Yaris 99-06  </t>
  </si>
  <si>
    <t>BD2020</t>
  </si>
  <si>
    <t>HF - 489</t>
  </si>
  <si>
    <t>YQ3392</t>
  </si>
  <si>
    <t xml:space="preserve">Disco Freno Volks Golf - Passat 1.3 93&lt; </t>
  </si>
  <si>
    <t>BD3392</t>
  </si>
  <si>
    <t>YQ6382</t>
  </si>
  <si>
    <t>Disco Freno Volkswagen Amarok 2.0 10-20</t>
  </si>
  <si>
    <t>BD6382</t>
  </si>
  <si>
    <t>2H0615301A</t>
  </si>
  <si>
    <t>HF - 90</t>
  </si>
  <si>
    <t>YQ9619</t>
  </si>
  <si>
    <t>Disco Freno Volkswagen Fox, Spacefox, Crossfox 1.6 10-11</t>
  </si>
  <si>
    <t>BD9619</t>
  </si>
  <si>
    <t>5Z0615301D</t>
  </si>
  <si>
    <t>HF - 81A</t>
  </si>
  <si>
    <t>YQ3300</t>
  </si>
  <si>
    <t>Disco Freno Volkswagen Gol 1.6 96-99, Vento 1.8</t>
  </si>
  <si>
    <t>BD3300</t>
  </si>
  <si>
    <t>321615301/175615301</t>
  </si>
  <si>
    <t>HF - 01</t>
  </si>
  <si>
    <t>YQ3975</t>
  </si>
  <si>
    <t>Disco Freno Volkswagen Gol 1.8 00&gt;, Saveiro 97&gt;</t>
  </si>
  <si>
    <t>BD3975</t>
  </si>
  <si>
    <t>5W0615301/321615301A</t>
  </si>
  <si>
    <t>HF - 02A</t>
  </si>
  <si>
    <t>YQ5297</t>
  </si>
  <si>
    <t>Disco Freno Volkswagen Gol Nueva Generacion G51.6, Saveiro G5 1.6</t>
  </si>
  <si>
    <t>BD5297</t>
  </si>
  <si>
    <t>5U0615301C</t>
  </si>
  <si>
    <t>HF - 87A</t>
  </si>
  <si>
    <t>YQ5602</t>
  </si>
  <si>
    <t>Disco Freno Volkswagen Golf 1.6 99-14, 1.6 03-15, Fox 1.6 04-08</t>
  </si>
  <si>
    <t>BD5602</t>
  </si>
  <si>
    <t>1J0615301D</t>
  </si>
  <si>
    <t>HF - 81</t>
  </si>
  <si>
    <t>YQ5603</t>
  </si>
  <si>
    <t>Disco Freno Volkswagen Golf 2.0 99-14, Polo Classic 02&gt;, Fox 1.6 05&lt;</t>
  </si>
  <si>
    <t>BD5603</t>
  </si>
  <si>
    <t>LJ0615301E</t>
  </si>
  <si>
    <t>HF - 82</t>
  </si>
  <si>
    <t>YQ5614</t>
  </si>
  <si>
    <t>Disco Freno Volkswagen Jetta VI 2.5 11-18</t>
  </si>
  <si>
    <t>BD5614</t>
  </si>
  <si>
    <t>1K0615301AC</t>
  </si>
  <si>
    <t>HF - 88F</t>
  </si>
  <si>
    <t>YQ5601</t>
  </si>
  <si>
    <t xml:space="preserve">Disco Freno Volkswagen Polo 1.6 02-12, Golf 1.6 1.8 96-06, Audi A1 A2 A3 1.1 1.4 1.6 </t>
  </si>
  <si>
    <t>BD5601</t>
  </si>
  <si>
    <t>1J0615601</t>
  </si>
  <si>
    <t>HF - 83</t>
  </si>
  <si>
    <t>YQ5605</t>
  </si>
  <si>
    <t>Disco Freno Volkswagen Polo 1.6 03-15</t>
  </si>
  <si>
    <t>6N0615301A</t>
  </si>
  <si>
    <t>HF - 88C</t>
  </si>
  <si>
    <t>YQ5302</t>
  </si>
  <si>
    <t>Disco Freno Volkswagen Polo 1.6 09-15</t>
  </si>
  <si>
    <t>BD5302</t>
  </si>
  <si>
    <t>3A06115301A</t>
  </si>
  <si>
    <t>HF - 03A</t>
  </si>
  <si>
    <t>YQ5650</t>
  </si>
  <si>
    <t>Disco Freno Volkswagen Polo 1.6 18-23, Virtus 1.8 18-23</t>
  </si>
  <si>
    <t>BD5650</t>
  </si>
  <si>
    <t>2QB615301D</t>
  </si>
  <si>
    <t>HF - 81B</t>
  </si>
  <si>
    <t>YQ9613</t>
  </si>
  <si>
    <t>Disco Freno Volkswagen Saveiro 1.8 14&gt;</t>
  </si>
  <si>
    <t>YQ9614</t>
  </si>
  <si>
    <t>BD9613</t>
  </si>
  <si>
    <t>BD9614</t>
  </si>
  <si>
    <t>5U7615601</t>
  </si>
  <si>
    <t>1S0615301</t>
  </si>
  <si>
    <t>HF - 87C</t>
  </si>
  <si>
    <t>HF - 87B</t>
  </si>
  <si>
    <t>YQ5648</t>
  </si>
  <si>
    <t>Disco Freno Volkswagen Virtus, T-Cross, Polo 1.0 18&gt;</t>
  </si>
  <si>
    <t>BD5648</t>
  </si>
  <si>
    <t>2QB615301E</t>
  </si>
  <si>
    <t>HF - 81C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</si>
</sst>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1" applyFont="1" applyBorder="1" applyAlignment="1">
      <alignment horizontal="center" vertical="center"/>
    </xf>
    <xf numFmtId="49" fontId="3" fillId="0" borderId="3" xfId="2" applyNumberFormat="1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 vertical="center"/>
    </xf>
    <xf numFmtId="49" fontId="3" fillId="3" borderId="3" xfId="2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11" fontId="3" fillId="3" borderId="3" xfId="0" quotePrefix="1" applyNumberFormat="1" applyFont="1" applyFill="1" applyBorder="1" applyAlignment="1">
      <alignment horizontal="center" vertical="center"/>
    </xf>
    <xf numFmtId="11" fontId="3" fillId="0" borderId="3" xfId="0" applyNumberFormat="1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/>
    </xf>
    <xf numFmtId="11" fontId="3" fillId="0" borderId="3" xfId="0" applyNumberFormat="1" applyFont="1" applyBorder="1" applyAlignment="1">
      <alignment horizontal="center"/>
    </xf>
    <xf numFmtId="0" fontId="3" fillId="3" borderId="3" xfId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</cellXfs>
  <cellStyles count="3">
    <cellStyle name="Normal" xfId="0" builtinId="0"/>
    <cellStyle name="Normal 3" xfId="1" xr:uid="{5A7EAFD6-BBE5-42C9-97A0-46E92DDEEF7F}"/>
    <cellStyle name="Normalny_Arkusz1" xfId="2" xr:uid="{1F7BA02A-33DA-4B53-8304-A50DD58D84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Discos%20de%20freno%20Medidas.xlsx" TargetMode="External"/><Relationship Id="rId2" Type="http://schemas.openxmlformats.org/officeDocument/2006/relationships/externalLinkPath" Target="file:///C:\Users\ASUS%20TUF%20F15\Downloads\Discos%20de%20freno%20Medidas.xlsx" TargetMode="External"/><Relationship Id="rId1" Type="http://schemas.openxmlformats.org/officeDocument/2006/relationships/externalLinkPath" Target="/Users/ASUS%20TUF%20F15/Downloads/Discos%20de%20freno%20Medid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scos"/>
      <sheetName val="Ref-Opc"/>
    </sheetNames>
    <sheetDataSet>
      <sheetData sheetId="0">
        <row r="8">
          <cell r="C8" t="str">
            <v>CODIGO-FREMAX</v>
          </cell>
          <cell r="D8" t="str">
            <v>CODIGO-MONTAGE</v>
          </cell>
          <cell r="E8" t="str">
            <v>CODIGO-HIPER</v>
          </cell>
          <cell r="F8" t="str">
            <v>APLICACIÓN</v>
          </cell>
          <cell r="G8" t="str">
            <v>TIPO</v>
          </cell>
          <cell r="H8" t="str">
            <v xml:space="preserve"> Diametro Disco</v>
          </cell>
          <cell r="I8" t="str">
            <v>Grosor Disco</v>
          </cell>
          <cell r="J8" t="str">
            <v>Altura Total</v>
          </cell>
          <cell r="K8" t="str">
            <v>Diametro Hub</v>
          </cell>
          <cell r="L8" t="str">
            <v>Numero Hue</v>
          </cell>
        </row>
        <row r="9">
          <cell r="C9" t="str">
            <v>BD4417</v>
          </cell>
          <cell r="D9" t="str">
            <v>J69-3501075</v>
          </cell>
          <cell r="E9" t="str">
            <v>HF-53N</v>
          </cell>
          <cell r="F9" t="str">
            <v>Disco Freno Cherry Tiggo 2 2.0 19&gt;/ Arrizo 5 6 1.5 19&gt;</v>
          </cell>
          <cell r="G9" t="str">
            <v>V/D</v>
          </cell>
          <cell r="H9">
            <v>283</v>
          </cell>
          <cell r="I9">
            <v>25</v>
          </cell>
          <cell r="J9">
            <v>45</v>
          </cell>
          <cell r="K9">
            <v>65.5</v>
          </cell>
          <cell r="L9" t="str">
            <v>5H</v>
          </cell>
        </row>
        <row r="10">
          <cell r="D10" t="str">
            <v>J52-3501075</v>
          </cell>
          <cell r="F10" t="str">
            <v>Disco Freno Cerry Arrizo 3</v>
          </cell>
          <cell r="G10" t="str">
            <v>V/D</v>
          </cell>
          <cell r="H10">
            <v>285</v>
          </cell>
          <cell r="I10">
            <v>18</v>
          </cell>
          <cell r="J10">
            <v>40</v>
          </cell>
          <cell r="K10">
            <v>65</v>
          </cell>
          <cell r="L10" t="str">
            <v>5H</v>
          </cell>
        </row>
        <row r="11">
          <cell r="D11" t="str">
            <v>J603502075</v>
          </cell>
          <cell r="E11" t="str">
            <v>HF - 54E</v>
          </cell>
          <cell r="F11" t="str">
            <v>Disco Freno Cerry Arrizo 5 6 1.5 19&gt;</v>
          </cell>
          <cell r="G11" t="str">
            <v>S/P</v>
          </cell>
          <cell r="H11">
            <v>287.5</v>
          </cell>
          <cell r="I11">
            <v>10</v>
          </cell>
          <cell r="J11">
            <v>55</v>
          </cell>
          <cell r="K11">
            <v>65</v>
          </cell>
          <cell r="L11" t="str">
            <v>5H</v>
          </cell>
        </row>
        <row r="12">
          <cell r="C12" t="str">
            <v>BD2886</v>
          </cell>
          <cell r="D12" t="str">
            <v>T113501075BA</v>
          </cell>
          <cell r="E12" t="str">
            <v>HF-53G</v>
          </cell>
          <cell r="F12" t="str">
            <v>Disco Freno Cherry Tiggo 2 09-15</v>
          </cell>
          <cell r="G12" t="str">
            <v>S/P</v>
          </cell>
          <cell r="H12">
            <v>303</v>
          </cell>
          <cell r="I12">
            <v>9</v>
          </cell>
          <cell r="J12">
            <v>62.5</v>
          </cell>
          <cell r="K12">
            <v>62</v>
          </cell>
          <cell r="L12" t="str">
            <v>5H</v>
          </cell>
        </row>
        <row r="13">
          <cell r="D13" t="str">
            <v>T15-3501075</v>
          </cell>
          <cell r="F13" t="str">
            <v>Disco Freno Cherry Tiggo 4 7 8, Tiggo 8 Pro 1.5 1.6 16&gt;</v>
          </cell>
          <cell r="G13" t="str">
            <v>V/D</v>
          </cell>
          <cell r="H13">
            <v>308</v>
          </cell>
          <cell r="I13">
            <v>22</v>
          </cell>
          <cell r="J13">
            <v>45</v>
          </cell>
          <cell r="K13">
            <v>60</v>
          </cell>
          <cell r="L13" t="str">
            <v>5H</v>
          </cell>
        </row>
        <row r="14">
          <cell r="C14" t="str">
            <v>YQCA01</v>
          </cell>
          <cell r="D14" t="str">
            <v>3501101-CA01</v>
          </cell>
          <cell r="F14" t="str">
            <v>Disco Freno Dfsk Glory 580 / Mini van C37 1.5 18-24</v>
          </cell>
          <cell r="G14" t="str">
            <v>V/D</v>
          </cell>
          <cell r="H14">
            <v>255</v>
          </cell>
          <cell r="I14">
            <v>22</v>
          </cell>
          <cell r="J14">
            <v>45</v>
          </cell>
          <cell r="K14">
            <v>64</v>
          </cell>
          <cell r="L14" t="str">
            <v>5H</v>
          </cell>
        </row>
        <row r="15">
          <cell r="C15" t="str">
            <v>YQSA01</v>
          </cell>
          <cell r="D15" t="str">
            <v>3501101-SA01</v>
          </cell>
          <cell r="E15" t="str">
            <v>HF - 9465</v>
          </cell>
          <cell r="F15" t="str">
            <v>Disco Freno Dfsk Glory 560 4X2 TM 1.8 19-24</v>
          </cell>
          <cell r="G15" t="str">
            <v>V/D</v>
          </cell>
          <cell r="H15">
            <v>300</v>
          </cell>
          <cell r="I15">
            <v>26</v>
          </cell>
          <cell r="J15">
            <v>46</v>
          </cell>
          <cell r="K15">
            <v>69</v>
          </cell>
          <cell r="L15" t="str">
            <v>5H</v>
          </cell>
        </row>
        <row r="16">
          <cell r="C16" t="str">
            <v>YQG001</v>
          </cell>
          <cell r="D16" t="str">
            <v>35G01</v>
          </cell>
          <cell r="F16" t="str">
            <v>Disco Freno Shineray SWM G01 19-24</v>
          </cell>
          <cell r="G16" t="str">
            <v>V/D</v>
          </cell>
          <cell r="H16">
            <v>305</v>
          </cell>
          <cell r="I16">
            <v>26</v>
          </cell>
          <cell r="J16">
            <v>46</v>
          </cell>
          <cell r="K16">
            <v>60</v>
          </cell>
          <cell r="L16" t="str">
            <v>5H</v>
          </cell>
        </row>
        <row r="17">
          <cell r="E17" t="str">
            <v>HF - 9466</v>
          </cell>
          <cell r="F17" t="str">
            <v>Disco Freno Dfsk Glory 560 4X2 TM 1.8 19-24</v>
          </cell>
          <cell r="G17" t="str">
            <v>S/P</v>
          </cell>
          <cell r="H17">
            <v>278</v>
          </cell>
          <cell r="I17">
            <v>11</v>
          </cell>
          <cell r="J17">
            <v>36.5</v>
          </cell>
          <cell r="K17">
            <v>69</v>
          </cell>
          <cell r="L17" t="str">
            <v>5H</v>
          </cell>
        </row>
        <row r="18">
          <cell r="E18" t="str">
            <v>HF - 9441</v>
          </cell>
          <cell r="F18" t="str">
            <v>Disco Freno Jetour X70 II 1.5 4X2 21.23</v>
          </cell>
          <cell r="G18" t="str">
            <v>S/P</v>
          </cell>
          <cell r="H18">
            <v>331</v>
          </cell>
          <cell r="I18">
            <v>11</v>
          </cell>
          <cell r="J18">
            <v>41</v>
          </cell>
          <cell r="K18">
            <v>62</v>
          </cell>
          <cell r="L18" t="str">
            <v>5H</v>
          </cell>
        </row>
        <row r="19">
          <cell r="E19" t="str">
            <v>HF - 9440</v>
          </cell>
          <cell r="F19" t="str">
            <v>Disco Freno Jetour X70 II 1.5 4X2 21.23</v>
          </cell>
          <cell r="G19" t="str">
            <v>V/D</v>
          </cell>
          <cell r="H19">
            <v>325.5</v>
          </cell>
          <cell r="I19">
            <v>25</v>
          </cell>
          <cell r="J19">
            <v>45.5</v>
          </cell>
          <cell r="K19">
            <v>62</v>
          </cell>
          <cell r="L19" t="str">
            <v>5H</v>
          </cell>
        </row>
        <row r="20">
          <cell r="E20" t="str">
            <v>HF - 9473</v>
          </cell>
          <cell r="F20" t="str">
            <v>Disco Freno Soueast DX3 Confort 1.5 4X2 TM 19-24</v>
          </cell>
          <cell r="G20" t="str">
            <v>S/P</v>
          </cell>
          <cell r="H20">
            <v>262</v>
          </cell>
          <cell r="I20">
            <v>10</v>
          </cell>
          <cell r="J20">
            <v>61</v>
          </cell>
          <cell r="K20">
            <v>76</v>
          </cell>
          <cell r="L20" t="str">
            <v>5H</v>
          </cell>
        </row>
        <row r="21">
          <cell r="E21" t="str">
            <v>HF - 9469</v>
          </cell>
          <cell r="F21" t="str">
            <v>Disco Freno Soueast DX3 Confort 1.5 4X2 TM 19-24</v>
          </cell>
          <cell r="G21" t="str">
            <v>V/D</v>
          </cell>
          <cell r="H21">
            <v>264</v>
          </cell>
          <cell r="I21">
            <v>25</v>
          </cell>
          <cell r="J21">
            <v>48</v>
          </cell>
          <cell r="K21">
            <v>69</v>
          </cell>
          <cell r="L21" t="str">
            <v>5H</v>
          </cell>
        </row>
        <row r="22">
          <cell r="D22" t="str">
            <v>23B02A024</v>
          </cell>
          <cell r="F22" t="str">
            <v>Disco Freno Soueast DX7 Prime 1.5 2.020</v>
          </cell>
          <cell r="G22" t="str">
            <v>S/P</v>
          </cell>
          <cell r="H22">
            <v>283</v>
          </cell>
          <cell r="I22">
            <v>10</v>
          </cell>
          <cell r="J22">
            <v>35</v>
          </cell>
          <cell r="K22">
            <v>75</v>
          </cell>
          <cell r="L22" t="str">
            <v>5H</v>
          </cell>
        </row>
        <row r="23">
          <cell r="C23" t="str">
            <v>YQS213</v>
          </cell>
          <cell r="D23" t="str">
            <v>S213501075</v>
          </cell>
          <cell r="F23" t="str">
            <v>Disco Freno Cherry Practivan QQ6 Van Pass N300</v>
          </cell>
          <cell r="G23" t="str">
            <v>V/D</v>
          </cell>
          <cell r="H23">
            <v>255</v>
          </cell>
          <cell r="I23">
            <v>18</v>
          </cell>
          <cell r="J23">
            <v>48</v>
          </cell>
          <cell r="K23">
            <v>60</v>
          </cell>
          <cell r="L23" t="str">
            <v>4H</v>
          </cell>
        </row>
        <row r="24">
          <cell r="C24" t="str">
            <v>BD4392</v>
          </cell>
          <cell r="D24" t="str">
            <v>96320531</v>
          </cell>
          <cell r="E24" t="str">
            <v>HF - 53</v>
          </cell>
          <cell r="F24" t="str">
            <v>Disco Freno Chevrolet Spark, Cronos, Life 0.8 1.0 04-19/  QQ Chino</v>
          </cell>
          <cell r="G24" t="str">
            <v>S/D</v>
          </cell>
          <cell r="H24">
            <v>236</v>
          </cell>
          <cell r="I24">
            <v>12.5</v>
          </cell>
          <cell r="J24">
            <v>35.5</v>
          </cell>
          <cell r="K24">
            <v>86</v>
          </cell>
          <cell r="L24" t="str">
            <v>4H</v>
          </cell>
        </row>
        <row r="25">
          <cell r="C25" t="str">
            <v>BD3168</v>
          </cell>
          <cell r="D25" t="str">
            <v>SC1022BB13D</v>
          </cell>
          <cell r="E25" t="str">
            <v>HF - 168</v>
          </cell>
          <cell r="F25" t="str">
            <v>Disco Freno Chevrolet N200/ Chana DFSK 1.2 21&gt;</v>
          </cell>
          <cell r="G25" t="str">
            <v>S/D</v>
          </cell>
          <cell r="H25">
            <v>231</v>
          </cell>
          <cell r="I25">
            <v>12</v>
          </cell>
          <cell r="J25">
            <v>44.5</v>
          </cell>
          <cell r="K25">
            <v>60</v>
          </cell>
          <cell r="L25" t="str">
            <v>4H</v>
          </cell>
        </row>
        <row r="26">
          <cell r="C26" t="str">
            <v>BD3606</v>
          </cell>
          <cell r="D26">
            <v>24510381</v>
          </cell>
          <cell r="E26" t="str">
            <v>HF - 26E</v>
          </cell>
          <cell r="F26" t="str">
            <v>Disco Freno Chevrolet N200-300/ Mini Van/ Wuling Sgmw 13&gt; / Foton Gratour Furgoneta 1.2</v>
          </cell>
          <cell r="G26" t="str">
            <v>V/D</v>
          </cell>
          <cell r="H26">
            <v>256</v>
          </cell>
          <cell r="I26">
            <v>18</v>
          </cell>
          <cell r="J26">
            <v>47</v>
          </cell>
          <cell r="K26">
            <v>60</v>
          </cell>
          <cell r="L26" t="str">
            <v>4H</v>
          </cell>
        </row>
        <row r="27">
          <cell r="C27" t="str">
            <v>BD7738</v>
          </cell>
          <cell r="D27">
            <v>94607738</v>
          </cell>
          <cell r="E27" t="str">
            <v>HF - 22</v>
          </cell>
          <cell r="F27" t="str">
            <v>Disco Freno Chevrolet San Remo 84-96 (Con Cubo)</v>
          </cell>
          <cell r="G27" t="str">
            <v>S/D</v>
          </cell>
          <cell r="H27">
            <v>238</v>
          </cell>
          <cell r="I27">
            <v>11</v>
          </cell>
          <cell r="J27">
            <v>94</v>
          </cell>
          <cell r="K27">
            <v>50.2</v>
          </cell>
          <cell r="L27" t="str">
            <v>4H</v>
          </cell>
        </row>
        <row r="28">
          <cell r="C28" t="str">
            <v>BD3548</v>
          </cell>
          <cell r="D28">
            <v>52125657</v>
          </cell>
          <cell r="E28" t="str">
            <v>HF - 51N</v>
          </cell>
          <cell r="F28" t="str">
            <v>Disco Freno Chev. Onix 1.0 20&gt;</v>
          </cell>
          <cell r="G28" t="str">
            <v>V/D</v>
          </cell>
          <cell r="H28">
            <v>256</v>
          </cell>
          <cell r="I28">
            <v>22</v>
          </cell>
          <cell r="J28">
            <v>46</v>
          </cell>
          <cell r="K28">
            <v>60</v>
          </cell>
          <cell r="L28" t="str">
            <v>4H</v>
          </cell>
        </row>
        <row r="29">
          <cell r="C29" t="str">
            <v>BD4633</v>
          </cell>
          <cell r="D29" t="str">
            <v>9056028</v>
          </cell>
          <cell r="E29" t="str">
            <v>HF - 20C</v>
          </cell>
          <cell r="F29" t="str">
            <v xml:space="preserve">Disco Freno Chevrolet Spark GT 11-19, Chevrolet Sail 1.4 </v>
          </cell>
          <cell r="G29" t="str">
            <v>V/D</v>
          </cell>
          <cell r="H29">
            <v>235</v>
          </cell>
          <cell r="I29">
            <v>20</v>
          </cell>
          <cell r="J29">
            <v>41</v>
          </cell>
          <cell r="K29">
            <v>59</v>
          </cell>
          <cell r="L29" t="str">
            <v>4H</v>
          </cell>
        </row>
        <row r="30">
          <cell r="C30" t="str">
            <v>BD0618</v>
          </cell>
          <cell r="D30" t="str">
            <v>90870685</v>
          </cell>
          <cell r="E30" t="str">
            <v>HF - 20E</v>
          </cell>
          <cell r="F30" t="str">
            <v>Disco Freno Chevrolet Sail 1.5 17-21</v>
          </cell>
          <cell r="G30" t="str">
            <v>V/D</v>
          </cell>
          <cell r="H30">
            <v>256</v>
          </cell>
          <cell r="I30">
            <v>22</v>
          </cell>
          <cell r="J30">
            <v>40.5</v>
          </cell>
          <cell r="K30">
            <v>59</v>
          </cell>
          <cell r="L30" t="str">
            <v>4H</v>
          </cell>
        </row>
        <row r="31">
          <cell r="C31" t="str">
            <v>BD1440</v>
          </cell>
          <cell r="D31" t="str">
            <v>90121445</v>
          </cell>
          <cell r="E31" t="str">
            <v>HF - 20</v>
          </cell>
          <cell r="F31" t="str">
            <v xml:space="preserve">Disco Freno Chevrolet Corsa 13,1.4,1.6/ Wind/ Racer/ Cielo/ Daewoo Lanos </v>
          </cell>
          <cell r="G31" t="str">
            <v>V/D</v>
          </cell>
          <cell r="H31">
            <v>236</v>
          </cell>
          <cell r="I31">
            <v>20</v>
          </cell>
          <cell r="J31">
            <v>41</v>
          </cell>
          <cell r="K31">
            <v>60</v>
          </cell>
          <cell r="L31" t="str">
            <v>4/6H</v>
          </cell>
        </row>
        <row r="32">
          <cell r="C32" t="str">
            <v>BD9060</v>
          </cell>
          <cell r="D32" t="str">
            <v>90539466</v>
          </cell>
          <cell r="E32" t="str">
            <v>HF - 26B</v>
          </cell>
          <cell r="F32" t="str">
            <v>Disco Freno Chevrolet Astra, Zafira, Vectra 2.0 01-08</v>
          </cell>
          <cell r="G32" t="str">
            <v>V/D</v>
          </cell>
          <cell r="H32">
            <v>280</v>
          </cell>
          <cell r="I32">
            <v>25</v>
          </cell>
          <cell r="J32">
            <v>42</v>
          </cell>
          <cell r="K32">
            <v>70</v>
          </cell>
          <cell r="L32" t="str">
            <v>5H</v>
          </cell>
        </row>
        <row r="33">
          <cell r="C33" t="str">
            <v>BD9210</v>
          </cell>
          <cell r="D33" t="str">
            <v>4565693</v>
          </cell>
          <cell r="E33" t="str">
            <v>HF - 23D</v>
          </cell>
          <cell r="F33" t="str">
            <v>Disco Freno Chevrolet Astra, Zafira, Vectra 2.0 01-08</v>
          </cell>
          <cell r="G33" t="str">
            <v>S/P</v>
          </cell>
          <cell r="H33">
            <v>286</v>
          </cell>
          <cell r="I33">
            <v>10</v>
          </cell>
          <cell r="J33">
            <v>69.2</v>
          </cell>
          <cell r="K33">
            <v>65.5</v>
          </cell>
          <cell r="L33" t="str">
            <v>5H</v>
          </cell>
        </row>
        <row r="34">
          <cell r="C34" t="str">
            <v>BD9110</v>
          </cell>
          <cell r="D34" t="str">
            <v>569109</v>
          </cell>
          <cell r="E34" t="str">
            <v>HF - 23E</v>
          </cell>
          <cell r="F34" t="str">
            <v>Disco Freno Chevrolet Astra, Zafira, 2.0 01-08 (Con ABS)</v>
          </cell>
          <cell r="G34" t="str">
            <v>S/P</v>
          </cell>
          <cell r="H34">
            <v>264</v>
          </cell>
          <cell r="I34">
            <v>10</v>
          </cell>
          <cell r="J34">
            <v>42</v>
          </cell>
          <cell r="K34">
            <v>65.5</v>
          </cell>
          <cell r="L34" t="str">
            <v>5H</v>
          </cell>
        </row>
        <row r="35">
          <cell r="C35" t="str">
            <v>BD4908</v>
          </cell>
          <cell r="D35" t="str">
            <v>96534660/93813434</v>
          </cell>
          <cell r="E35" t="str">
            <v>HF - 51</v>
          </cell>
          <cell r="F35" t="str">
            <v xml:space="preserve">Disco Freno Chevrolet Aveo Family-Emotion 1.5 10-19, Espero, Vectra, Astra 02 </v>
          </cell>
          <cell r="G35" t="str">
            <v>V/D</v>
          </cell>
          <cell r="H35">
            <v>256</v>
          </cell>
          <cell r="I35">
            <v>24</v>
          </cell>
          <cell r="J35">
            <v>41</v>
          </cell>
          <cell r="K35">
            <v>59</v>
          </cell>
          <cell r="L35" t="str">
            <v>4H</v>
          </cell>
        </row>
        <row r="36">
          <cell r="C36" t="str">
            <v>BD7966</v>
          </cell>
          <cell r="D36">
            <v>91277966</v>
          </cell>
          <cell r="E36" t="str">
            <v>HF - 23B</v>
          </cell>
          <cell r="F36" t="str">
            <v>Disco Freno Chevrolet Corsa Evolution 1.4 03-07/ Joy 22-23</v>
          </cell>
          <cell r="G36" t="str">
            <v>V/D</v>
          </cell>
          <cell r="H36">
            <v>240</v>
          </cell>
          <cell r="I36">
            <v>20</v>
          </cell>
          <cell r="J36">
            <v>41</v>
          </cell>
          <cell r="K36">
            <v>60</v>
          </cell>
          <cell r="L36" t="str">
            <v>4H</v>
          </cell>
        </row>
        <row r="37">
          <cell r="C37" t="str">
            <v>BD3545</v>
          </cell>
          <cell r="D37">
            <v>52099697</v>
          </cell>
          <cell r="E37" t="str">
            <v>HF - 51C</v>
          </cell>
          <cell r="F37" t="str">
            <v>Disco Freno Chevrolet Joy 1.0 1.4 20&gt;</v>
          </cell>
          <cell r="G37" t="str">
            <v>V/D</v>
          </cell>
          <cell r="H37">
            <v>240</v>
          </cell>
          <cell r="I37">
            <v>20</v>
          </cell>
          <cell r="J37">
            <v>43</v>
          </cell>
          <cell r="K37">
            <v>60</v>
          </cell>
          <cell r="L37" t="str">
            <v>4H</v>
          </cell>
        </row>
        <row r="38">
          <cell r="C38" t="str">
            <v>BD9000</v>
          </cell>
          <cell r="D38" t="str">
            <v>569000/9127967</v>
          </cell>
          <cell r="E38" t="str">
            <v>HF - 20A</v>
          </cell>
          <cell r="F38" t="str">
            <v>Disco Freno Chevrolet Corsa Evolution 1.8 03-07</v>
          </cell>
          <cell r="G38" t="str">
            <v>V/D</v>
          </cell>
          <cell r="H38">
            <v>260</v>
          </cell>
          <cell r="I38">
            <v>24</v>
          </cell>
          <cell r="J38">
            <v>41</v>
          </cell>
          <cell r="K38">
            <v>60</v>
          </cell>
          <cell r="L38" t="str">
            <v>4H</v>
          </cell>
        </row>
        <row r="39">
          <cell r="C39" t="str">
            <v>BD8338</v>
          </cell>
          <cell r="D39" t="str">
            <v>96549782</v>
          </cell>
          <cell r="E39" t="str">
            <v>HF - 52</v>
          </cell>
          <cell r="F39" t="str">
            <v xml:space="preserve">Disco Freno Chevrolet Optra Lacetti, Vivant </v>
          </cell>
          <cell r="G39" t="str">
            <v>V/D</v>
          </cell>
          <cell r="H39">
            <v>256</v>
          </cell>
          <cell r="I39">
            <v>24</v>
          </cell>
          <cell r="J39">
            <v>47.5</v>
          </cell>
          <cell r="K39">
            <v>60</v>
          </cell>
          <cell r="L39" t="str">
            <v>4H</v>
          </cell>
        </row>
        <row r="40">
          <cell r="C40" t="str">
            <v>BD6028</v>
          </cell>
          <cell r="D40" t="str">
            <v>96549630</v>
          </cell>
          <cell r="E40" t="str">
            <v>HF - 52A</v>
          </cell>
          <cell r="F40" t="str">
            <v xml:space="preserve">Disco Freno Chevrolet Optra Posterior 1.8 03-14 </v>
          </cell>
          <cell r="G40" t="str">
            <v>S/D</v>
          </cell>
          <cell r="H40">
            <v>258</v>
          </cell>
          <cell r="I40">
            <v>10.5</v>
          </cell>
          <cell r="J40">
            <v>57.5</v>
          </cell>
          <cell r="K40">
            <v>60</v>
          </cell>
          <cell r="L40" t="str">
            <v>4H</v>
          </cell>
        </row>
        <row r="41">
          <cell r="C41" t="str">
            <v>BD1559</v>
          </cell>
          <cell r="D41" t="str">
            <v>13502045/13597451</v>
          </cell>
          <cell r="E41" t="str">
            <v>HF - 51B</v>
          </cell>
          <cell r="F41" t="str">
            <v>Disco Freno Chevrolet Cruze 1.4 Turbo 17-18</v>
          </cell>
          <cell r="G41" t="str">
            <v>V/D</v>
          </cell>
          <cell r="H41">
            <v>276</v>
          </cell>
          <cell r="I41">
            <v>26</v>
          </cell>
          <cell r="J41">
            <v>45.5</v>
          </cell>
          <cell r="K41">
            <v>60</v>
          </cell>
          <cell r="L41" t="str">
            <v>5H</v>
          </cell>
        </row>
        <row r="42">
          <cell r="C42" t="str">
            <v>BD1564</v>
          </cell>
          <cell r="D42" t="str">
            <v>13597356</v>
          </cell>
          <cell r="E42" t="str">
            <v>HF - 51L</v>
          </cell>
          <cell r="F42" t="str">
            <v>Disco Freno Chevrolet Cruze 1.4 Turbo 17-18</v>
          </cell>
          <cell r="G42" t="str">
            <v>S/P</v>
          </cell>
          <cell r="H42">
            <v>264</v>
          </cell>
          <cell r="I42">
            <v>10</v>
          </cell>
          <cell r="J42">
            <v>44.5</v>
          </cell>
          <cell r="K42">
            <v>60</v>
          </cell>
          <cell r="L42" t="str">
            <v>5H</v>
          </cell>
        </row>
        <row r="43">
          <cell r="C43" t="str">
            <v>BD1560</v>
          </cell>
          <cell r="D43" t="str">
            <v>13502134</v>
          </cell>
          <cell r="E43" t="str">
            <v>HF - 51E</v>
          </cell>
          <cell r="F43" t="str">
            <v>Disco Freno Chevrolet Cruze 1.8 11-16</v>
          </cell>
          <cell r="G43" t="str">
            <v>S/P</v>
          </cell>
          <cell r="H43">
            <v>268</v>
          </cell>
          <cell r="I43">
            <v>12</v>
          </cell>
          <cell r="J43">
            <v>45</v>
          </cell>
          <cell r="K43">
            <v>60</v>
          </cell>
          <cell r="L43" t="str">
            <v>5H</v>
          </cell>
        </row>
        <row r="44">
          <cell r="C44" t="str">
            <v>BD2376</v>
          </cell>
          <cell r="D44" t="str">
            <v>569801/8941723761</v>
          </cell>
          <cell r="E44" t="str">
            <v>HF - 28A</v>
          </cell>
          <cell r="F44" t="str">
            <v>Disco Freno Chevrolet Luv 2.2-2.3, Trooper Rodeo 2.6</v>
          </cell>
          <cell r="G44" t="str">
            <v>V/D</v>
          </cell>
          <cell r="H44">
            <v>257</v>
          </cell>
          <cell r="I44">
            <v>22</v>
          </cell>
          <cell r="J44">
            <v>36</v>
          </cell>
          <cell r="K44">
            <v>88</v>
          </cell>
          <cell r="L44" t="str">
            <v>6H</v>
          </cell>
        </row>
        <row r="45">
          <cell r="C45" t="str">
            <v>BD6039</v>
          </cell>
          <cell r="D45">
            <v>8973606760</v>
          </cell>
          <cell r="E45" t="str">
            <v>HF - 54</v>
          </cell>
          <cell r="F45" t="str">
            <v>Disco Freno Chevrolet D-Max 2.4-2.5 4x2 05-13, Luv 3.2 06&lt; / Great Wall Wingle cd 4X2 2.3 13&gt; (Gasolina)</v>
          </cell>
          <cell r="G45" t="str">
            <v>V/D</v>
          </cell>
          <cell r="H45">
            <v>256</v>
          </cell>
          <cell r="I45">
            <v>26</v>
          </cell>
          <cell r="J45">
            <v>40</v>
          </cell>
          <cell r="K45">
            <v>88</v>
          </cell>
          <cell r="L45" t="str">
            <v>6H</v>
          </cell>
        </row>
        <row r="46">
          <cell r="C46" t="str">
            <v>BD6780</v>
          </cell>
          <cell r="D46">
            <v>8973606780</v>
          </cell>
          <cell r="E46" t="str">
            <v>HF - 54A</v>
          </cell>
          <cell r="F46" t="str">
            <v>Disco Freno Chevrolet D-Max RT50 2.5 4x2 4x4</v>
          </cell>
          <cell r="G46" t="str">
            <v>V/D</v>
          </cell>
          <cell r="H46">
            <v>280</v>
          </cell>
          <cell r="I46">
            <v>27</v>
          </cell>
          <cell r="J46">
            <v>40</v>
          </cell>
          <cell r="K46">
            <v>88</v>
          </cell>
          <cell r="L46" t="str">
            <v>6H</v>
          </cell>
        </row>
        <row r="47">
          <cell r="C47" t="str">
            <v>BD1557</v>
          </cell>
          <cell r="D47">
            <v>13503988</v>
          </cell>
          <cell r="E47" t="str">
            <v>HF - 308C</v>
          </cell>
          <cell r="F47" t="str">
            <v>Disco Freno Chevrolet Equinox 1.5 Turbo 18-20 (R-18)</v>
          </cell>
          <cell r="G47" t="str">
            <v>V/D</v>
          </cell>
          <cell r="H47">
            <v>300</v>
          </cell>
          <cell r="I47">
            <v>26</v>
          </cell>
          <cell r="J47">
            <v>46</v>
          </cell>
          <cell r="K47">
            <v>70.5</v>
          </cell>
          <cell r="L47" t="str">
            <v>5H</v>
          </cell>
        </row>
        <row r="48">
          <cell r="C48" t="str">
            <v>BD3970</v>
          </cell>
          <cell r="D48">
            <v>94712571</v>
          </cell>
          <cell r="E48" t="str">
            <v>HF - 21E/HF-9474</v>
          </cell>
          <cell r="F48" t="str">
            <v>Disco Freno Chevrolet D-Max Hi Ride  RT50 3.0 4x4 14-19/ Trailblazer</v>
          </cell>
          <cell r="G48" t="str">
            <v>V/D</v>
          </cell>
          <cell r="H48">
            <v>301</v>
          </cell>
          <cell r="I48">
            <v>27</v>
          </cell>
          <cell r="J48">
            <v>40</v>
          </cell>
          <cell r="K48">
            <v>88</v>
          </cell>
          <cell r="L48" t="str">
            <v>6H</v>
          </cell>
        </row>
        <row r="49">
          <cell r="C49" t="str">
            <v>BD3973</v>
          </cell>
          <cell r="D49">
            <v>52032731</v>
          </cell>
          <cell r="E49" t="str">
            <v>HF - 21H</v>
          </cell>
          <cell r="F49" t="str">
            <v>Disco Freno Crevrolet Trail Blazer 4X2 4X4 14&gt;</v>
          </cell>
          <cell r="G49" t="str">
            <v>V/P</v>
          </cell>
          <cell r="H49">
            <v>318</v>
          </cell>
          <cell r="I49">
            <v>18</v>
          </cell>
          <cell r="J49">
            <v>80</v>
          </cell>
          <cell r="K49">
            <v>101</v>
          </cell>
          <cell r="L49" t="str">
            <v>6H</v>
          </cell>
        </row>
        <row r="50">
          <cell r="C50" t="str">
            <v>BD3974</v>
          </cell>
          <cell r="D50">
            <v>52108355</v>
          </cell>
          <cell r="E50" t="str">
            <v>HF - 21G</v>
          </cell>
          <cell r="F50" t="str">
            <v>Disco Freno Crevrolet Trail Blazer 4X2 4X4 17</v>
          </cell>
          <cell r="G50" t="str">
            <v>V/D</v>
          </cell>
          <cell r="H50">
            <v>300</v>
          </cell>
          <cell r="I50">
            <v>27</v>
          </cell>
          <cell r="J50">
            <v>61.5</v>
          </cell>
          <cell r="K50">
            <v>104</v>
          </cell>
          <cell r="L50" t="str">
            <v>6H</v>
          </cell>
        </row>
        <row r="51">
          <cell r="C51" t="str">
            <v>BD1553</v>
          </cell>
          <cell r="D51">
            <v>569091</v>
          </cell>
          <cell r="E51" t="str">
            <v>HF - 308A</v>
          </cell>
          <cell r="F51" t="str">
            <v xml:space="preserve">Disco Freno Chevrolet Tracker 1.8 14-20 </v>
          </cell>
          <cell r="G51" t="str">
            <v>V/D</v>
          </cell>
          <cell r="H51">
            <v>300</v>
          </cell>
          <cell r="I51">
            <v>26</v>
          </cell>
          <cell r="J51">
            <v>46</v>
          </cell>
          <cell r="K51">
            <v>60</v>
          </cell>
          <cell r="L51" t="str">
            <v>5H</v>
          </cell>
        </row>
        <row r="52">
          <cell r="C52" t="str">
            <v>BD1573</v>
          </cell>
          <cell r="D52">
            <v>26700656</v>
          </cell>
          <cell r="E52" t="str">
            <v>HF - 308F</v>
          </cell>
          <cell r="F52" t="str">
            <v xml:space="preserve">Disco Freno Chevrolet Tracker 1.0 1.2 20&gt; </v>
          </cell>
          <cell r="G52" t="str">
            <v>V/D</v>
          </cell>
          <cell r="H52">
            <v>276</v>
          </cell>
          <cell r="I52">
            <v>26</v>
          </cell>
          <cell r="J52">
            <v>45.5</v>
          </cell>
          <cell r="K52">
            <v>60</v>
          </cell>
          <cell r="L52" t="str">
            <v>5H</v>
          </cell>
        </row>
        <row r="53">
          <cell r="C53" t="str">
            <v>BD4070</v>
          </cell>
          <cell r="D53">
            <v>82433859</v>
          </cell>
          <cell r="E53" t="str">
            <v>HF - 30A</v>
          </cell>
          <cell r="F53" t="str">
            <v>Disco Freno Chevrolet Tracker 1.8 14-20&gt;</v>
          </cell>
          <cell r="G53" t="str">
            <v>S/P</v>
          </cell>
          <cell r="H53">
            <v>251</v>
          </cell>
          <cell r="I53">
            <v>10</v>
          </cell>
          <cell r="J53">
            <v>50.5</v>
          </cell>
          <cell r="K53">
            <v>59</v>
          </cell>
          <cell r="L53" t="str">
            <v>4H</v>
          </cell>
        </row>
        <row r="54">
          <cell r="C54" t="str">
            <v>BD9050</v>
          </cell>
          <cell r="D54" t="str">
            <v>569050/8970340343</v>
          </cell>
          <cell r="E54" t="str">
            <v>HF - 28E</v>
          </cell>
          <cell r="F54" t="str">
            <v xml:space="preserve">Disco Freno Chevrolet Trooper, Rodeo 3.2 V6 98-03 </v>
          </cell>
          <cell r="G54" t="str">
            <v>V/D</v>
          </cell>
          <cell r="H54">
            <v>280</v>
          </cell>
          <cell r="I54">
            <v>26</v>
          </cell>
          <cell r="J54">
            <v>36</v>
          </cell>
          <cell r="K54">
            <v>88</v>
          </cell>
          <cell r="L54" t="str">
            <v>6H</v>
          </cell>
        </row>
        <row r="55">
          <cell r="C55" t="str">
            <v>BD4133</v>
          </cell>
          <cell r="D55" t="str">
            <v>3501011-S08</v>
          </cell>
          <cell r="F55" t="str">
            <v>Disco Freno Great Wall Hover M4 1.5 14-21</v>
          </cell>
          <cell r="G55" t="str">
            <v>V/D</v>
          </cell>
          <cell r="H55">
            <v>255</v>
          </cell>
          <cell r="I55">
            <v>22</v>
          </cell>
          <cell r="J55">
            <v>43</v>
          </cell>
          <cell r="K55">
            <v>55</v>
          </cell>
          <cell r="L55" t="str">
            <v>4H</v>
          </cell>
        </row>
        <row r="56">
          <cell r="C56" t="str">
            <v>BD9055</v>
          </cell>
          <cell r="D56" t="str">
            <v>3103102XK00XB</v>
          </cell>
          <cell r="E56" t="str">
            <v>HF - 9472</v>
          </cell>
          <cell r="F56" t="str">
            <v>Disco Freno Great Wall Wingle 5 2.0 4X4 19-24 (Diesel)</v>
          </cell>
          <cell r="G56" t="str">
            <v>V/D</v>
          </cell>
          <cell r="H56">
            <v>280</v>
          </cell>
          <cell r="I56">
            <v>26</v>
          </cell>
          <cell r="J56">
            <v>36</v>
          </cell>
          <cell r="K56">
            <v>88</v>
          </cell>
          <cell r="L56" t="str">
            <v>6H</v>
          </cell>
        </row>
        <row r="57">
          <cell r="E57" t="str">
            <v>HF - 9468</v>
          </cell>
          <cell r="F57" t="str">
            <v>Disco Freno Great Wall Wingle H4-H5, 7 2.0 4X4 19-24 (Diesel)</v>
          </cell>
          <cell r="G57" t="str">
            <v>V/P</v>
          </cell>
          <cell r="H57">
            <v>314</v>
          </cell>
          <cell r="I57">
            <v>18</v>
          </cell>
          <cell r="J57">
            <v>80</v>
          </cell>
          <cell r="K57">
            <v>101</v>
          </cell>
          <cell r="L57" t="str">
            <v>6H</v>
          </cell>
        </row>
        <row r="58">
          <cell r="E58" t="str">
            <v>HF - 9470</v>
          </cell>
          <cell r="F58" t="str">
            <v xml:space="preserve">Disco Freno Suzuki Swift ISG 1.2 4X2 TM 23-24 (Hybrido) </v>
          </cell>
          <cell r="G58" t="str">
            <v>V/D</v>
          </cell>
          <cell r="H58">
            <v>231</v>
          </cell>
          <cell r="I58">
            <v>17</v>
          </cell>
          <cell r="J58">
            <v>40</v>
          </cell>
          <cell r="K58">
            <v>60</v>
          </cell>
          <cell r="L58" t="str">
            <v>4H</v>
          </cell>
        </row>
        <row r="59">
          <cell r="C59" t="str">
            <v>BD6030</v>
          </cell>
          <cell r="D59" t="str">
            <v>55311-60B21/5531160B30</v>
          </cell>
          <cell r="E59" t="str">
            <v>HF - 305</v>
          </cell>
          <cell r="F59" t="str">
            <v xml:space="preserve">Disco Freno Chevrolet Suzuki Forza II 91-00, Swift 1.6, Alto  </v>
          </cell>
          <cell r="G59" t="str">
            <v>V/D</v>
          </cell>
          <cell r="H59">
            <v>231</v>
          </cell>
          <cell r="I59">
            <v>17</v>
          </cell>
          <cell r="J59">
            <v>50</v>
          </cell>
          <cell r="K59">
            <v>64</v>
          </cell>
          <cell r="L59" t="str">
            <v>4H</v>
          </cell>
        </row>
        <row r="60">
          <cell r="C60" t="str">
            <v>BD6040</v>
          </cell>
          <cell r="D60" t="str">
            <v>5531160B40</v>
          </cell>
          <cell r="E60" t="str">
            <v>HF - 306</v>
          </cell>
          <cell r="F60" t="str">
            <v>Disco Freno Chevrolet Suzuki Forza 1.3 89-96</v>
          </cell>
          <cell r="G60" t="str">
            <v>V/D</v>
          </cell>
          <cell r="H60">
            <v>250</v>
          </cell>
          <cell r="I60">
            <v>18.5</v>
          </cell>
          <cell r="J60">
            <v>47</v>
          </cell>
          <cell r="K60">
            <v>64</v>
          </cell>
          <cell r="L60" t="str">
            <v>4H</v>
          </cell>
        </row>
        <row r="61">
          <cell r="C61" t="str">
            <v>BD6097</v>
          </cell>
          <cell r="D61" t="str">
            <v>5561161M0000</v>
          </cell>
          <cell r="E61" t="str">
            <v>HF - 302D</v>
          </cell>
          <cell r="F61" t="str">
            <v>Disco Freno Chevrolet Suzuki S-Cross SX4 1.6 17-21</v>
          </cell>
          <cell r="G61" t="str">
            <v>S/P</v>
          </cell>
          <cell r="H61">
            <v>259</v>
          </cell>
          <cell r="I61">
            <v>9</v>
          </cell>
          <cell r="J61">
            <v>43.5</v>
          </cell>
          <cell r="K61">
            <v>62</v>
          </cell>
          <cell r="L61" t="str">
            <v>5H</v>
          </cell>
        </row>
        <row r="62">
          <cell r="C62" t="str">
            <v>BD6041</v>
          </cell>
          <cell r="E62" t="str">
            <v>HF - 302C</v>
          </cell>
          <cell r="F62" t="str">
            <v>Disco Freno Chevrolet Suzuki S-Cross SX4 1.6 17-21</v>
          </cell>
          <cell r="G62" t="str">
            <v>V/D</v>
          </cell>
          <cell r="H62">
            <v>280</v>
          </cell>
          <cell r="I62">
            <v>22</v>
          </cell>
          <cell r="J62">
            <v>47</v>
          </cell>
          <cell r="K62">
            <v>62</v>
          </cell>
          <cell r="L62" t="str">
            <v>5H</v>
          </cell>
        </row>
        <row r="63">
          <cell r="C63" t="str">
            <v>BD1160</v>
          </cell>
          <cell r="D63">
            <v>30005701</v>
          </cell>
          <cell r="E63" t="str">
            <v>HF - 304</v>
          </cell>
          <cell r="F63" t="str">
            <v>Disco Freno Chevrolet Suzuki Forsa I, Super Carry</v>
          </cell>
          <cell r="G63" t="str">
            <v>S/D</v>
          </cell>
          <cell r="H63">
            <v>215</v>
          </cell>
          <cell r="I63">
            <v>10</v>
          </cell>
          <cell r="J63">
            <v>33</v>
          </cell>
          <cell r="K63">
            <v>86</v>
          </cell>
          <cell r="L63" t="str">
            <v>4H</v>
          </cell>
        </row>
        <row r="64">
          <cell r="D64" t="str">
            <v>5531160B22</v>
          </cell>
          <cell r="E64" t="str">
            <v>HF - 305A</v>
          </cell>
          <cell r="F64" t="str">
            <v>Disco Freno Chevrolet Suzuki Forza II 92-02</v>
          </cell>
          <cell r="G64" t="str">
            <v>S/D</v>
          </cell>
          <cell r="H64">
            <v>231</v>
          </cell>
          <cell r="I64">
            <v>12</v>
          </cell>
          <cell r="J64">
            <v>50</v>
          </cell>
          <cell r="K64">
            <v>64</v>
          </cell>
          <cell r="L64" t="str">
            <v>4H</v>
          </cell>
        </row>
        <row r="65">
          <cell r="C65" t="str">
            <v>BD6101</v>
          </cell>
          <cell r="D65" t="str">
            <v>5531161G00</v>
          </cell>
          <cell r="E65" t="str">
            <v>HF - 307</v>
          </cell>
          <cell r="F65" t="str">
            <v>Disco Freno Chevrolet Steem 1.6 96-02</v>
          </cell>
          <cell r="G65" t="str">
            <v>V/D</v>
          </cell>
          <cell r="H65">
            <v>235</v>
          </cell>
          <cell r="I65">
            <v>20</v>
          </cell>
          <cell r="J65">
            <v>49.5</v>
          </cell>
          <cell r="K65">
            <v>60</v>
          </cell>
          <cell r="L65" t="str">
            <v>4H</v>
          </cell>
        </row>
        <row r="66">
          <cell r="C66" t="str">
            <v>BD5600</v>
          </cell>
          <cell r="D66" t="str">
            <v>30012150/5521156B00</v>
          </cell>
          <cell r="E66" t="str">
            <v>HF - 21B</v>
          </cell>
          <cell r="F66" t="str">
            <v>Disco Freno Chevrolet Vitara 5P 91-99</v>
          </cell>
          <cell r="G66" t="str">
            <v>V/D</v>
          </cell>
          <cell r="H66">
            <v>287</v>
          </cell>
          <cell r="I66">
            <v>17</v>
          </cell>
          <cell r="J66">
            <v>46</v>
          </cell>
          <cell r="K66">
            <v>107</v>
          </cell>
          <cell r="L66" t="str">
            <v>5H</v>
          </cell>
        </row>
        <row r="67">
          <cell r="C67" t="str">
            <v>BD6970</v>
          </cell>
          <cell r="D67" t="str">
            <v>96058796/5521160A00</v>
          </cell>
          <cell r="E67" t="str">
            <v>HF - 21C</v>
          </cell>
          <cell r="F67" t="str">
            <v>Disco Freno Chevrolet Vitara 3P, Jimmy Samurai 91-04/ Tracker 89&lt;</v>
          </cell>
          <cell r="G67" t="str">
            <v>S/D</v>
          </cell>
          <cell r="H67">
            <v>290</v>
          </cell>
          <cell r="I67">
            <v>10</v>
          </cell>
          <cell r="J67">
            <v>46</v>
          </cell>
          <cell r="K67">
            <v>107</v>
          </cell>
          <cell r="L67" t="str">
            <v>5H</v>
          </cell>
        </row>
        <row r="68">
          <cell r="C68" t="str">
            <v>BD2863</v>
          </cell>
          <cell r="D68" t="str">
            <v>30024673/5521165D01</v>
          </cell>
          <cell r="E68" t="str">
            <v>HF - 308</v>
          </cell>
          <cell r="F68" t="str">
            <v>Disco Freno Chevrolet Gran Vitara 3P XL3</v>
          </cell>
          <cell r="G68" t="str">
            <v>V/D</v>
          </cell>
          <cell r="H68">
            <v>287</v>
          </cell>
          <cell r="I68">
            <v>17</v>
          </cell>
          <cell r="J68">
            <v>29</v>
          </cell>
          <cell r="K68">
            <v>108</v>
          </cell>
          <cell r="L68" t="str">
            <v>5H</v>
          </cell>
        </row>
        <row r="69">
          <cell r="C69" t="str">
            <v>BD6010</v>
          </cell>
          <cell r="D69" t="str">
            <v>5521165D11</v>
          </cell>
          <cell r="E69" t="str">
            <v>HF - 302</v>
          </cell>
          <cell r="F69" t="str">
            <v>Disco Freno Chevrolet Gran Vitara 5P XL7 2.7</v>
          </cell>
          <cell r="G69" t="str">
            <v>V/D</v>
          </cell>
          <cell r="H69">
            <v>310</v>
          </cell>
          <cell r="I69">
            <v>22</v>
          </cell>
          <cell r="J69">
            <v>29</v>
          </cell>
          <cell r="K69">
            <v>108</v>
          </cell>
          <cell r="L69" t="str">
            <v>5H</v>
          </cell>
        </row>
        <row r="70">
          <cell r="C70" t="str">
            <v>BD4803</v>
          </cell>
          <cell r="D70" t="str">
            <v>5521165J00/5521165J01</v>
          </cell>
          <cell r="E70" t="str">
            <v>HF - 302A</v>
          </cell>
          <cell r="F70" t="str">
            <v>Disco Freno Chevrolet Vitara SZ 2.0-2.7 08-18</v>
          </cell>
          <cell r="G70" t="str">
            <v>V/D</v>
          </cell>
          <cell r="H70">
            <v>295</v>
          </cell>
          <cell r="I70">
            <v>25</v>
          </cell>
          <cell r="J70">
            <v>49</v>
          </cell>
          <cell r="K70">
            <v>62</v>
          </cell>
          <cell r="L70" t="str">
            <v>5H</v>
          </cell>
        </row>
        <row r="71">
          <cell r="C71" t="str">
            <v>BD4802</v>
          </cell>
          <cell r="D71" t="str">
            <v>5561177K01</v>
          </cell>
          <cell r="E71" t="str">
            <v>HF - 302E</v>
          </cell>
          <cell r="F71" t="str">
            <v xml:space="preserve">Disco Freno Chevrolet Vitara SZ 2.0-2.4 08-19 Post. </v>
          </cell>
          <cell r="G71" t="str">
            <v>V/P</v>
          </cell>
          <cell r="H71">
            <v>308</v>
          </cell>
          <cell r="I71">
            <v>16</v>
          </cell>
          <cell r="J71">
            <v>57</v>
          </cell>
          <cell r="K71">
            <v>62</v>
          </cell>
          <cell r="L71" t="str">
            <v>5H</v>
          </cell>
        </row>
        <row r="72">
          <cell r="C72" t="str">
            <v>BD9049</v>
          </cell>
          <cell r="D72">
            <v>20892952</v>
          </cell>
          <cell r="E72" t="str">
            <v>HF - 26D</v>
          </cell>
          <cell r="F72" t="str">
            <v>Disco Freno Chevrolet Captiva 2.4 3.0 3.2 09-17</v>
          </cell>
          <cell r="G72" t="str">
            <v>V/P</v>
          </cell>
          <cell r="H72">
            <v>303</v>
          </cell>
          <cell r="I72">
            <v>20</v>
          </cell>
          <cell r="J72">
            <v>71.5</v>
          </cell>
          <cell r="K72">
            <v>70.5</v>
          </cell>
          <cell r="L72" t="str">
            <v>5H</v>
          </cell>
        </row>
        <row r="73">
          <cell r="C73" t="str">
            <v>BD9048</v>
          </cell>
          <cell r="D73" t="str">
            <v>20892949/25804049</v>
          </cell>
          <cell r="E73" t="str">
            <v>HF - 26C</v>
          </cell>
          <cell r="F73" t="str">
            <v>Disco Freno Chevrolet Captiva 2.4 3.0 3.2 09-17</v>
          </cell>
          <cell r="G73" t="str">
            <v>V/D</v>
          </cell>
          <cell r="H73">
            <v>296</v>
          </cell>
          <cell r="I73">
            <v>29</v>
          </cell>
          <cell r="J73">
            <v>52</v>
          </cell>
          <cell r="K73">
            <v>70.5</v>
          </cell>
          <cell r="L73" t="str">
            <v>5H</v>
          </cell>
        </row>
        <row r="74">
          <cell r="D74">
            <v>23995887</v>
          </cell>
          <cell r="F74" t="str">
            <v xml:space="preserve">Disco Freno Chevrolet Captiva Turbo 1.5 </v>
          </cell>
          <cell r="G74" t="str">
            <v>S/P</v>
          </cell>
          <cell r="H74">
            <v>280</v>
          </cell>
          <cell r="I74">
            <v>12</v>
          </cell>
          <cell r="J74">
            <v>30</v>
          </cell>
          <cell r="K74">
            <v>60</v>
          </cell>
          <cell r="L74" t="str">
            <v>5H</v>
          </cell>
        </row>
        <row r="75">
          <cell r="D75">
            <v>23960473</v>
          </cell>
          <cell r="F75" t="str">
            <v xml:space="preserve">Disco Freno Chevrolet Captiva LTZ Turbo 1.5 5P 2023 </v>
          </cell>
          <cell r="G75" t="str">
            <v>S/P</v>
          </cell>
          <cell r="H75">
            <v>270</v>
          </cell>
          <cell r="I75">
            <v>12</v>
          </cell>
          <cell r="J75">
            <v>30</v>
          </cell>
          <cell r="K75">
            <v>60</v>
          </cell>
          <cell r="L75" t="str">
            <v>5H</v>
          </cell>
        </row>
        <row r="76">
          <cell r="D76">
            <v>23971417</v>
          </cell>
          <cell r="F76" t="str">
            <v xml:space="preserve">Disco Freno Chevrolet Captiva Turbo 1.5 </v>
          </cell>
          <cell r="G76" t="str">
            <v>V/D</v>
          </cell>
          <cell r="H76">
            <v>312</v>
          </cell>
          <cell r="I76">
            <v>25</v>
          </cell>
          <cell r="J76">
            <v>45</v>
          </cell>
          <cell r="K76">
            <v>58</v>
          </cell>
          <cell r="L76" t="str">
            <v>5H</v>
          </cell>
        </row>
        <row r="77">
          <cell r="C77" t="str">
            <v>BD3966</v>
          </cell>
          <cell r="D77">
            <v>18060219</v>
          </cell>
          <cell r="E77" t="str">
            <v>HF - 21A</v>
          </cell>
          <cell r="F77" t="str">
            <v>Disco Freno Chevrolet Blazer 4X4 S-10 94-02 (ABS)</v>
          </cell>
          <cell r="G77" t="str">
            <v>V/D</v>
          </cell>
          <cell r="H77">
            <v>274</v>
          </cell>
          <cell r="I77">
            <v>29</v>
          </cell>
          <cell r="J77">
            <v>54.5</v>
          </cell>
          <cell r="K77">
            <v>71</v>
          </cell>
          <cell r="L77" t="str">
            <v>5H</v>
          </cell>
        </row>
        <row r="78">
          <cell r="C78" t="str">
            <v>BD3252</v>
          </cell>
          <cell r="D78" t="str">
            <v>DA0133251</v>
          </cell>
          <cell r="E78" t="str">
            <v>HF - 355</v>
          </cell>
          <cell r="F78" t="str">
            <v>Disco Freno Ford Festiva, Kia Pride 1.1-1.3 91-01</v>
          </cell>
          <cell r="G78" t="str">
            <v>S/D</v>
          </cell>
          <cell r="H78">
            <v>219</v>
          </cell>
          <cell r="I78">
            <v>13</v>
          </cell>
          <cell r="J78">
            <v>37</v>
          </cell>
          <cell r="K78">
            <v>75</v>
          </cell>
          <cell r="L78" t="str">
            <v>4H</v>
          </cell>
        </row>
        <row r="79">
          <cell r="C79" t="str">
            <v>BD1064</v>
          </cell>
          <cell r="D79">
            <v>547615301</v>
          </cell>
          <cell r="E79" t="str">
            <v>HF - 10A</v>
          </cell>
          <cell r="F79" t="str">
            <v>Disco Freno Ford Fiesta (Brasileiro) 1.3 1.4 1.8 96-03</v>
          </cell>
          <cell r="G79" t="str">
            <v>V/D</v>
          </cell>
          <cell r="H79">
            <v>239.5</v>
          </cell>
          <cell r="I79">
            <v>20</v>
          </cell>
          <cell r="J79">
            <v>43</v>
          </cell>
          <cell r="K79">
            <v>63.6</v>
          </cell>
          <cell r="L79" t="str">
            <v>4H</v>
          </cell>
        </row>
        <row r="80">
          <cell r="C80" t="str">
            <v>BD5344</v>
          </cell>
          <cell r="D80">
            <v>1148202</v>
          </cell>
          <cell r="E80" t="str">
            <v>HF - 18B</v>
          </cell>
          <cell r="F80" t="str">
            <v>Disco Freno Ford Ecosport, Focus, Fiesta 03-16</v>
          </cell>
          <cell r="G80" t="str">
            <v>V/D</v>
          </cell>
          <cell r="H80">
            <v>258</v>
          </cell>
          <cell r="I80">
            <v>22</v>
          </cell>
          <cell r="J80">
            <v>43.5</v>
          </cell>
          <cell r="K80">
            <v>63.5</v>
          </cell>
          <cell r="L80" t="str">
            <v>4H</v>
          </cell>
        </row>
        <row r="81">
          <cell r="C81" t="str">
            <v>BD5212</v>
          </cell>
          <cell r="D81" t="str">
            <v>CN151125A</v>
          </cell>
          <cell r="E81" t="str">
            <v>HF - 18J</v>
          </cell>
          <cell r="F81" t="str">
            <v>Disco Freno Ford Ecosport, 2.0 12&gt;</v>
          </cell>
          <cell r="G81" t="str">
            <v>V/D</v>
          </cell>
          <cell r="H81">
            <v>278</v>
          </cell>
          <cell r="I81">
            <v>25</v>
          </cell>
          <cell r="J81">
            <v>40</v>
          </cell>
          <cell r="K81">
            <v>63.5</v>
          </cell>
          <cell r="L81" t="str">
            <v>4H</v>
          </cell>
        </row>
        <row r="82">
          <cell r="C82" t="str">
            <v>BD3937</v>
          </cell>
          <cell r="D82" t="str">
            <v>BD.3937</v>
          </cell>
          <cell r="E82" t="str">
            <v>HF - 807A</v>
          </cell>
          <cell r="F82" t="str">
            <v>Disco Freno Ford Escape Focus 2.0 08&gt;</v>
          </cell>
          <cell r="G82" t="str">
            <v>V/D</v>
          </cell>
          <cell r="H82">
            <v>300</v>
          </cell>
          <cell r="I82">
            <v>25</v>
          </cell>
          <cell r="J82">
            <v>49</v>
          </cell>
          <cell r="K82">
            <v>63.5</v>
          </cell>
          <cell r="L82" t="str">
            <v>5H</v>
          </cell>
        </row>
        <row r="83">
          <cell r="C83" t="str">
            <v>BD7928</v>
          </cell>
          <cell r="D83" t="str">
            <v>5464070A00</v>
          </cell>
          <cell r="E83" t="str">
            <v>HF - 16M</v>
          </cell>
          <cell r="F83" t="str">
            <v>Disco Freno Ford Explore 95-01, Explorer Sport 98-02</v>
          </cell>
          <cell r="G83" t="str">
            <v>S/P</v>
          </cell>
          <cell r="H83">
            <v>285</v>
          </cell>
          <cell r="I83">
            <v>12</v>
          </cell>
          <cell r="J83">
            <v>58.3</v>
          </cell>
          <cell r="K83">
            <v>70</v>
          </cell>
          <cell r="L83" t="str">
            <v>5H</v>
          </cell>
        </row>
        <row r="84">
          <cell r="C84" t="str">
            <v>BD5082</v>
          </cell>
          <cell r="D84" t="str">
            <v>1F6033251A</v>
          </cell>
          <cell r="E84" t="str">
            <v>HF - 16P</v>
          </cell>
          <cell r="F84" t="str">
            <v>Disco Freno Ford Ranger 4X4 07-11, Explorer Sport Trac 01-06</v>
          </cell>
          <cell r="G84" t="str">
            <v>V/D</v>
          </cell>
          <cell r="H84">
            <v>305</v>
          </cell>
          <cell r="I84">
            <v>26</v>
          </cell>
          <cell r="J84">
            <v>66</v>
          </cell>
          <cell r="K84">
            <v>72</v>
          </cell>
          <cell r="L84" t="str">
            <v>5H</v>
          </cell>
        </row>
        <row r="85">
          <cell r="C85" t="str">
            <v>BD1413</v>
          </cell>
          <cell r="D85" t="str">
            <v>CB5Z1125A</v>
          </cell>
          <cell r="E85" t="str">
            <v>HF - 9353</v>
          </cell>
          <cell r="F85" t="str">
            <v>Disco Freno Ford Explorer 2.0 3.5 11&gt;</v>
          </cell>
          <cell r="G85" t="str">
            <v>V/D</v>
          </cell>
          <cell r="H85">
            <v>325</v>
          </cell>
          <cell r="I85">
            <v>30</v>
          </cell>
          <cell r="J85">
            <v>47</v>
          </cell>
          <cell r="K85">
            <v>68</v>
          </cell>
          <cell r="L85" t="str">
            <v>5H</v>
          </cell>
        </row>
        <row r="86">
          <cell r="C86" t="str">
            <v>BD2561</v>
          </cell>
          <cell r="E86" t="str">
            <v>HF - 9343</v>
          </cell>
          <cell r="F86" t="str">
            <v>Disco Freno Ford Explorer 2.0 3.5 11&gt;</v>
          </cell>
          <cell r="G86" t="str">
            <v>V/P</v>
          </cell>
          <cell r="H86">
            <v>345</v>
          </cell>
          <cell r="I86">
            <v>20</v>
          </cell>
          <cell r="J86">
            <v>39</v>
          </cell>
          <cell r="K86">
            <v>68</v>
          </cell>
          <cell r="L86" t="str">
            <v>5H</v>
          </cell>
        </row>
        <row r="87">
          <cell r="C87" t="str">
            <v>BD6545</v>
          </cell>
          <cell r="D87" t="str">
            <v>CL3Z2C026A</v>
          </cell>
          <cell r="E87" t="str">
            <v>HF - 9350</v>
          </cell>
          <cell r="F87" t="str">
            <v>Disco freno Ford F-150 4.5 12-18</v>
          </cell>
          <cell r="G87" t="str">
            <v>V/P</v>
          </cell>
          <cell r="H87">
            <v>348</v>
          </cell>
          <cell r="I87">
            <v>25</v>
          </cell>
          <cell r="J87">
            <v>80</v>
          </cell>
          <cell r="K87">
            <v>90</v>
          </cell>
          <cell r="L87" t="str">
            <v>6H</v>
          </cell>
        </row>
        <row r="88">
          <cell r="C88" t="str">
            <v>BD1081</v>
          </cell>
          <cell r="D88" t="str">
            <v>52009374AC</v>
          </cell>
          <cell r="E88" t="str">
            <v>HF - 260A</v>
          </cell>
          <cell r="F88" t="str">
            <v>Disco Freno Ford Edge 3.5 09-15</v>
          </cell>
          <cell r="G88" t="str">
            <v>S/P</v>
          </cell>
          <cell r="H88">
            <v>330</v>
          </cell>
          <cell r="I88">
            <v>11</v>
          </cell>
          <cell r="J88">
            <v>39</v>
          </cell>
          <cell r="K88">
            <v>68</v>
          </cell>
          <cell r="L88" t="str">
            <v>5H</v>
          </cell>
        </row>
        <row r="89">
          <cell r="C89" t="str">
            <v>BD6187</v>
          </cell>
          <cell r="D89" t="str">
            <v>7T4Z1125A</v>
          </cell>
          <cell r="E89" t="str">
            <v>HF - 261</v>
          </cell>
          <cell r="F89" t="str">
            <v>Disco Freno Ford Edge 3.5 09-15</v>
          </cell>
          <cell r="G89" t="str">
            <v>V/D</v>
          </cell>
          <cell r="H89">
            <v>320</v>
          </cell>
          <cell r="I89">
            <v>28</v>
          </cell>
          <cell r="J89">
            <v>48.5</v>
          </cell>
          <cell r="K89">
            <v>70</v>
          </cell>
          <cell r="L89" t="str">
            <v>5H</v>
          </cell>
        </row>
        <row r="90">
          <cell r="C90" t="str">
            <v>BD5056</v>
          </cell>
          <cell r="D90">
            <v>46423415</v>
          </cell>
          <cell r="E90" t="str">
            <v>HF - 30</v>
          </cell>
          <cell r="F90" t="str">
            <v>Disco Freno Fiat Palio, Weekend, Adventure</v>
          </cell>
          <cell r="G90" t="str">
            <v>V/D</v>
          </cell>
          <cell r="H90">
            <v>257</v>
          </cell>
          <cell r="I90">
            <v>20</v>
          </cell>
          <cell r="J90">
            <v>40.5</v>
          </cell>
          <cell r="K90">
            <v>59</v>
          </cell>
          <cell r="L90" t="str">
            <v>4H</v>
          </cell>
        </row>
        <row r="91">
          <cell r="C91" t="str">
            <v>BD1815</v>
          </cell>
          <cell r="D91">
            <v>5961814</v>
          </cell>
          <cell r="E91" t="str">
            <v>HF - 31</v>
          </cell>
          <cell r="F91" t="str">
            <v xml:space="preserve">Disco Freno Fiat Uno, Premio, Fiorino 86-94 </v>
          </cell>
          <cell r="G91" t="str">
            <v>S/D</v>
          </cell>
          <cell r="H91">
            <v>240</v>
          </cell>
          <cell r="I91">
            <v>12</v>
          </cell>
          <cell r="J91">
            <v>46.5</v>
          </cell>
          <cell r="K91">
            <v>59</v>
          </cell>
          <cell r="L91" t="str">
            <v>4H</v>
          </cell>
        </row>
        <row r="92">
          <cell r="C92" t="str">
            <v>BD8300</v>
          </cell>
          <cell r="D92">
            <v>4208311</v>
          </cell>
          <cell r="E92" t="str">
            <v>HF - 31A</v>
          </cell>
          <cell r="F92" t="str">
            <v>Disco Freno Fiat 125 128 131 131 147</v>
          </cell>
          <cell r="G92" t="str">
            <v>S/D</v>
          </cell>
          <cell r="H92">
            <v>227</v>
          </cell>
          <cell r="I92">
            <v>10</v>
          </cell>
          <cell r="J92">
            <v>45</v>
          </cell>
          <cell r="K92">
            <v>68</v>
          </cell>
          <cell r="L92" t="str">
            <v>4H</v>
          </cell>
        </row>
        <row r="93">
          <cell r="C93" t="str">
            <v>BD0550</v>
          </cell>
          <cell r="D93" t="str">
            <v>BR06-101/5171202550</v>
          </cell>
          <cell r="E93" t="str">
            <v>HF - 106</v>
          </cell>
          <cell r="F93" t="str">
            <v>Disco Freno Hyundai Atos Prime 07&lt;</v>
          </cell>
          <cell r="G93" t="str">
            <v>V/D</v>
          </cell>
          <cell r="H93">
            <v>234</v>
          </cell>
          <cell r="I93">
            <v>18</v>
          </cell>
          <cell r="J93">
            <v>51</v>
          </cell>
          <cell r="K93">
            <v>63.5</v>
          </cell>
          <cell r="L93" t="str">
            <v>4H</v>
          </cell>
        </row>
        <row r="94">
          <cell r="C94" t="str">
            <v>BD2000</v>
          </cell>
          <cell r="D94" t="str">
            <v>51712202000</v>
          </cell>
          <cell r="E94" t="str">
            <v>HF - 105</v>
          </cell>
          <cell r="F94" t="str">
            <v>Disco Freno Hyundai Atos 1.1 98-00</v>
          </cell>
          <cell r="G94" t="str">
            <v>S/D</v>
          </cell>
          <cell r="H94">
            <v>230</v>
          </cell>
          <cell r="I94">
            <v>11</v>
          </cell>
          <cell r="J94">
            <v>44</v>
          </cell>
          <cell r="K94">
            <v>67</v>
          </cell>
          <cell r="L94" t="str">
            <v>4H</v>
          </cell>
        </row>
        <row r="95">
          <cell r="C95" t="str">
            <v>BD2135</v>
          </cell>
          <cell r="D95">
            <v>5171221350</v>
          </cell>
          <cell r="E95" t="str">
            <v>HF - 102</v>
          </cell>
          <cell r="F95" t="str">
            <v xml:space="preserve">Disco Freno Hyundai Pony 1.3-1.4 94-09, Accent Excel 1.5 92-95 </v>
          </cell>
          <cell r="G95" t="str">
            <v>V/D</v>
          </cell>
          <cell r="H95">
            <v>242</v>
          </cell>
          <cell r="I95">
            <v>19</v>
          </cell>
          <cell r="J95">
            <v>40.5</v>
          </cell>
          <cell r="K95">
            <v>86</v>
          </cell>
          <cell r="L95" t="str">
            <v>4H</v>
          </cell>
        </row>
        <row r="96">
          <cell r="C96" t="str">
            <v>BD1008</v>
          </cell>
          <cell r="D96">
            <v>5171225060</v>
          </cell>
          <cell r="E96" t="str">
            <v>HF - 102A</v>
          </cell>
          <cell r="F96" t="str">
            <v>Disco Freno Hyundai Accent Verna 1.3-1.5 00-03</v>
          </cell>
          <cell r="G96" t="str">
            <v>V/D</v>
          </cell>
          <cell r="H96">
            <v>241</v>
          </cell>
          <cell r="I96">
            <v>19</v>
          </cell>
          <cell r="J96">
            <v>52</v>
          </cell>
          <cell r="K96">
            <v>63</v>
          </cell>
          <cell r="L96" t="str">
            <v>4H</v>
          </cell>
        </row>
        <row r="97">
          <cell r="C97" t="str">
            <v>BD0570</v>
          </cell>
          <cell r="E97" t="str">
            <v>HF - 102F</v>
          </cell>
          <cell r="F97" t="str">
            <v>Disco Freno Hyundai Getz 1.6 04-11</v>
          </cell>
          <cell r="G97" t="str">
            <v>V/D</v>
          </cell>
          <cell r="H97">
            <v>241</v>
          </cell>
          <cell r="I97">
            <v>19</v>
          </cell>
          <cell r="J97">
            <v>48</v>
          </cell>
          <cell r="K97">
            <v>62.52</v>
          </cell>
          <cell r="L97" t="str">
            <v>4H</v>
          </cell>
        </row>
        <row r="98">
          <cell r="C98" t="str">
            <v>BD5201</v>
          </cell>
          <cell r="D98" t="str">
            <v>58411-0U300</v>
          </cell>
          <cell r="E98" t="str">
            <v>HF - 9396</v>
          </cell>
          <cell r="F98" t="str">
            <v>Disco Freno Hyundai Accent Verna/ Kia Rio, Stonic 1.4 1.6 19&gt;</v>
          </cell>
          <cell r="G98" t="str">
            <v>S/P</v>
          </cell>
          <cell r="H98">
            <v>262</v>
          </cell>
          <cell r="I98">
            <v>10</v>
          </cell>
          <cell r="J98">
            <v>44</v>
          </cell>
          <cell r="K98">
            <v>63</v>
          </cell>
          <cell r="L98" t="str">
            <v>4H</v>
          </cell>
        </row>
        <row r="99">
          <cell r="C99" t="str">
            <v>BD7510</v>
          </cell>
          <cell r="F99" t="str">
            <v>Disco Freno Hyundai Grna I10 1.2 14&gt;</v>
          </cell>
          <cell r="G99" t="str">
            <v>V/D</v>
          </cell>
          <cell r="H99">
            <v>252</v>
          </cell>
          <cell r="I99">
            <v>18</v>
          </cell>
          <cell r="J99">
            <v>49</v>
          </cell>
          <cell r="K99">
            <v>62</v>
          </cell>
          <cell r="L99" t="str">
            <v>4H</v>
          </cell>
        </row>
        <row r="100">
          <cell r="C100" t="str">
            <v>BD0200</v>
          </cell>
          <cell r="D100" t="str">
            <v>581294A000</v>
          </cell>
          <cell r="E100" t="str">
            <v>HF - 107</v>
          </cell>
          <cell r="F100" t="str">
            <v>Disco Freno Hyundai H1 Starex 05-07</v>
          </cell>
          <cell r="G100" t="str">
            <v>V/D</v>
          </cell>
          <cell r="H100">
            <v>254</v>
          </cell>
          <cell r="I100">
            <v>24</v>
          </cell>
          <cell r="J100">
            <v>40</v>
          </cell>
          <cell r="K100">
            <v>87</v>
          </cell>
          <cell r="L100" t="str">
            <v>5H</v>
          </cell>
        </row>
        <row r="101">
          <cell r="C101" t="str">
            <v>BD5101</v>
          </cell>
          <cell r="D101" t="str">
            <v>517121G000</v>
          </cell>
          <cell r="E101" t="str">
            <v>HF - 360</v>
          </cell>
          <cell r="F101" t="str">
            <v>Disco Freno Hyundai New Accent Vision 1.6 06-11/ Kia Rio Xcite 12&lt;</v>
          </cell>
          <cell r="G101" t="str">
            <v>V/D</v>
          </cell>
          <cell r="H101">
            <v>256.5</v>
          </cell>
          <cell r="I101">
            <v>22</v>
          </cell>
          <cell r="J101">
            <v>46.5</v>
          </cell>
          <cell r="K101">
            <v>62</v>
          </cell>
          <cell r="L101" t="str">
            <v>4H</v>
          </cell>
        </row>
        <row r="102">
          <cell r="C102" t="str">
            <v>BD5206</v>
          </cell>
          <cell r="D102" t="str">
            <v>517121S300/517121R000</v>
          </cell>
          <cell r="E102" t="str">
            <v>HF - 325L</v>
          </cell>
          <cell r="F102" t="str">
            <v xml:space="preserve">Disco Freno Hyundai New Accent Verna 1.6 19-21/ Kia Rio, Soluto, 1.4, Picanto EX 1.2 18-23 R14 </v>
          </cell>
          <cell r="G102" t="str">
            <v>V/D</v>
          </cell>
          <cell r="H102">
            <v>256</v>
          </cell>
          <cell r="I102">
            <v>22</v>
          </cell>
          <cell r="J102">
            <v>44</v>
          </cell>
          <cell r="K102">
            <v>62</v>
          </cell>
          <cell r="L102" t="str">
            <v>4H</v>
          </cell>
        </row>
        <row r="103">
          <cell r="C103" t="str">
            <v>BD2902</v>
          </cell>
          <cell r="D103" t="str">
            <v>517122D300</v>
          </cell>
          <cell r="E103" t="str">
            <v>HF - 358A</v>
          </cell>
          <cell r="F103" t="str">
            <v>Disco Freno Kia Cerato 1.6 06-12/ Hyundai Elantra 2.0 03-04/ Matrix 1.6 1.8</v>
          </cell>
          <cell r="G103" t="str">
            <v>V/D</v>
          </cell>
          <cell r="H103">
            <v>257</v>
          </cell>
          <cell r="I103">
            <v>24</v>
          </cell>
          <cell r="J103">
            <v>46.5</v>
          </cell>
          <cell r="K103">
            <v>69</v>
          </cell>
          <cell r="L103" t="str">
            <v>4H</v>
          </cell>
        </row>
        <row r="104">
          <cell r="C104" t="str">
            <v>BD2830</v>
          </cell>
          <cell r="D104">
            <v>5171228300</v>
          </cell>
          <cell r="E104" t="str">
            <v>HF - 104</v>
          </cell>
          <cell r="F104" t="str">
            <v>Disco Freno Hyundai Elantra 1.6 92&gt;</v>
          </cell>
          <cell r="G104" t="str">
            <v>V/D</v>
          </cell>
          <cell r="H104">
            <v>257</v>
          </cell>
          <cell r="I104">
            <v>22</v>
          </cell>
          <cell r="J104">
            <v>34</v>
          </cell>
          <cell r="K104">
            <v>86</v>
          </cell>
          <cell r="L104" t="str">
            <v>4H</v>
          </cell>
        </row>
        <row r="105">
          <cell r="C105" t="str">
            <v>BD2903</v>
          </cell>
          <cell r="D105" t="str">
            <v>517122F100</v>
          </cell>
          <cell r="E105" t="str">
            <v>HF - 358</v>
          </cell>
          <cell r="F105" t="str">
            <v>Disco Freno Hyundai Elantra 1.6 07-10/ Kia Cerato 2.0 06</v>
          </cell>
          <cell r="G105" t="str">
            <v>V/D</v>
          </cell>
          <cell r="H105">
            <v>275</v>
          </cell>
          <cell r="I105">
            <v>26</v>
          </cell>
          <cell r="J105">
            <v>47.5</v>
          </cell>
          <cell r="K105">
            <v>69</v>
          </cell>
          <cell r="L105" t="str">
            <v>4H</v>
          </cell>
        </row>
        <row r="106">
          <cell r="C106" t="str">
            <v>BD5182</v>
          </cell>
          <cell r="D106" t="str">
            <v>517122V000/517123X000</v>
          </cell>
          <cell r="E106" t="str">
            <v>HF - 358C</v>
          </cell>
          <cell r="F106" t="str">
            <v>Disco Freno Hyundai Elantra 1.8/ Kia Cerato, Stonic, Sonet 1.6 20&gt;</v>
          </cell>
          <cell r="G106" t="str">
            <v>V/D</v>
          </cell>
          <cell r="H106">
            <v>280</v>
          </cell>
          <cell r="I106">
            <v>23</v>
          </cell>
          <cell r="J106">
            <v>44.5</v>
          </cell>
          <cell r="K106">
            <v>69</v>
          </cell>
          <cell r="L106" t="str">
            <v>5H</v>
          </cell>
        </row>
        <row r="107">
          <cell r="C107" t="str">
            <v>BD5167</v>
          </cell>
          <cell r="D107" t="str">
            <v>584113X300</v>
          </cell>
          <cell r="E107" t="str">
            <v>HF - 358E</v>
          </cell>
          <cell r="F107" t="str">
            <v>Disco Freno Hyundai Elantra, Veloster 16 1.8 10-15/ Creta1.5, Seltos 1.6 20-24</v>
          </cell>
          <cell r="G107" t="str">
            <v>S/P</v>
          </cell>
          <cell r="H107">
            <v>262</v>
          </cell>
          <cell r="I107">
            <v>10</v>
          </cell>
          <cell r="J107">
            <v>45</v>
          </cell>
          <cell r="K107">
            <v>76</v>
          </cell>
          <cell r="L107" t="str">
            <v>5H</v>
          </cell>
        </row>
        <row r="108">
          <cell r="C108" t="str">
            <v>BD5158</v>
          </cell>
          <cell r="D108" t="str">
            <v>517121M000</v>
          </cell>
          <cell r="E108" t="str">
            <v>HF - 358F</v>
          </cell>
          <cell r="F108" t="str">
            <v>Disco Freno Kia Cerato 2.0 11-17, 1.6 05-12</v>
          </cell>
          <cell r="G108" t="str">
            <v>V/D</v>
          </cell>
          <cell r="H108">
            <v>280</v>
          </cell>
          <cell r="I108">
            <v>26</v>
          </cell>
          <cell r="J108">
            <v>47.5</v>
          </cell>
          <cell r="K108">
            <v>69</v>
          </cell>
          <cell r="L108" t="str">
            <v>5H</v>
          </cell>
        </row>
        <row r="109">
          <cell r="C109" t="str">
            <v>BD2703</v>
          </cell>
          <cell r="D109" t="str">
            <v>OK63B33251A</v>
          </cell>
          <cell r="E109" t="str">
            <v>HF - 352B</v>
          </cell>
          <cell r="F109" t="str">
            <v xml:space="preserve">Disco Freno Kia K2700 2.7 4X4 01-14, K2500 2.5 08-18 </v>
          </cell>
          <cell r="G109" t="str">
            <v>V/D</v>
          </cell>
        </row>
        <row r="110">
          <cell r="C110" t="str">
            <v>BD0100</v>
          </cell>
          <cell r="D110" t="str">
            <v>58129440010</v>
          </cell>
          <cell r="E110" t="str">
            <v>HF - 100</v>
          </cell>
          <cell r="F110" t="str">
            <v>Disco Freno Hyundai H100, H150 (Gasolina)</v>
          </cell>
          <cell r="G110" t="str">
            <v>V/D</v>
          </cell>
          <cell r="H110">
            <v>253</v>
          </cell>
          <cell r="I110">
            <v>20</v>
          </cell>
          <cell r="J110">
            <v>29</v>
          </cell>
          <cell r="K110">
            <v>84</v>
          </cell>
          <cell r="L110" t="str">
            <v>5H</v>
          </cell>
        </row>
        <row r="111">
          <cell r="C111" t="str">
            <v>BD5171</v>
          </cell>
          <cell r="D111" t="str">
            <v>517121F300/517122E300</v>
          </cell>
          <cell r="E111" t="str">
            <v>HF - 325D</v>
          </cell>
          <cell r="F111" t="str">
            <v>Disco Freno Hyundai Tucson 2.0/ Kia Sportage Active 05&gt;</v>
          </cell>
          <cell r="G111" t="str">
            <v>V/D</v>
          </cell>
          <cell r="H111">
            <v>280</v>
          </cell>
          <cell r="I111">
            <v>26</v>
          </cell>
          <cell r="J111">
            <v>47.5</v>
          </cell>
          <cell r="K111">
            <v>69</v>
          </cell>
          <cell r="L111" t="str">
            <v>5H</v>
          </cell>
        </row>
        <row r="112">
          <cell r="C112" t="str">
            <v>BD2907</v>
          </cell>
          <cell r="D112" t="str">
            <v>584113A300</v>
          </cell>
          <cell r="E112" t="str">
            <v>HF - 325C</v>
          </cell>
          <cell r="F112" t="str">
            <v>Disco Freno Hyundai Tucson 2.0 4x4 13-16, 2.7 05-10/  Santa Fe 2.0-2.7-3.5 01-05</v>
          </cell>
          <cell r="G112" t="str">
            <v>S/D</v>
          </cell>
          <cell r="H112">
            <v>284</v>
          </cell>
          <cell r="I112">
            <v>10</v>
          </cell>
          <cell r="J112">
            <v>61</v>
          </cell>
          <cell r="K112">
            <v>76</v>
          </cell>
          <cell r="L112" t="str">
            <v>5H</v>
          </cell>
        </row>
        <row r="113">
          <cell r="F113" t="str">
            <v>Disco Freno Hyundai Tucson 2.0 21-23, Kia Sportage 2.0 21-23</v>
          </cell>
          <cell r="G113" t="str">
            <v>V/D</v>
          </cell>
          <cell r="H113">
            <v>325</v>
          </cell>
          <cell r="I113">
            <v>30</v>
          </cell>
          <cell r="J113">
            <v>160</v>
          </cell>
          <cell r="K113">
            <v>69</v>
          </cell>
          <cell r="L113" t="str">
            <v>5H</v>
          </cell>
        </row>
        <row r="114">
          <cell r="C114" t="str">
            <v>BD0579</v>
          </cell>
          <cell r="D114" t="str">
            <v>58411D3000</v>
          </cell>
          <cell r="E114" t="str">
            <v>HF - 329F</v>
          </cell>
          <cell r="F114" t="str">
            <v>Disco Freno Hyundai Tucson, Sonata Hibri, Kia Spor. GT Line 16 17&lt;</v>
          </cell>
          <cell r="G114" t="str">
            <v>S/P</v>
          </cell>
          <cell r="H114">
            <v>302</v>
          </cell>
          <cell r="I114">
            <v>10</v>
          </cell>
          <cell r="J114">
            <v>54.5</v>
          </cell>
          <cell r="K114">
            <v>76</v>
          </cell>
          <cell r="L114" t="str">
            <v>5H</v>
          </cell>
        </row>
        <row r="115">
          <cell r="C115" t="str">
            <v>BD0578</v>
          </cell>
          <cell r="D115" t="str">
            <v>51712C1000</v>
          </cell>
          <cell r="E115" t="str">
            <v>HF - 329E</v>
          </cell>
          <cell r="F115" t="str">
            <v>Disco Freno Hyundai Tucson IX 2.0/ Kia Sportage R 10-16/ Hyundai Creta 1.6</v>
          </cell>
          <cell r="G115" t="str">
            <v>V/D</v>
          </cell>
          <cell r="H115">
            <v>305</v>
          </cell>
          <cell r="I115">
            <v>25</v>
          </cell>
          <cell r="J115">
            <v>46.5</v>
          </cell>
          <cell r="K115">
            <v>69</v>
          </cell>
          <cell r="L115" t="str">
            <v>5H</v>
          </cell>
        </row>
        <row r="116">
          <cell r="C116" t="str">
            <v>BD0586</v>
          </cell>
          <cell r="D116" t="str">
            <v>517121M500/517123K160</v>
          </cell>
          <cell r="E116" t="str">
            <v>HF - 325N</v>
          </cell>
          <cell r="F116" t="str">
            <v xml:space="preserve">Disco Freno Hyundai Tucson IX 2.0 11&gt;/ Kia Sportage R 10-16/ Creta  </v>
          </cell>
          <cell r="G116" t="str">
            <v>V/D</v>
          </cell>
          <cell r="H116">
            <v>300</v>
          </cell>
          <cell r="I116">
            <v>28</v>
          </cell>
          <cell r="J116">
            <v>47.5</v>
          </cell>
          <cell r="K116">
            <v>69</v>
          </cell>
          <cell r="L116" t="str">
            <v>5H</v>
          </cell>
        </row>
        <row r="117">
          <cell r="C117" t="str">
            <v>BD0581</v>
          </cell>
          <cell r="D117" t="str">
            <v>58411-1H300</v>
          </cell>
          <cell r="E117" t="str">
            <v>HF - 325P</v>
          </cell>
          <cell r="F117" t="str">
            <v xml:space="preserve">Disco Freno Hyundai Tucson IX 2.0/ Sonata Hybrido 2.0/ Kia Sportage 14-20 </v>
          </cell>
          <cell r="G117" t="str">
            <v>S/P</v>
          </cell>
          <cell r="H117">
            <v>262</v>
          </cell>
          <cell r="I117">
            <v>10</v>
          </cell>
          <cell r="J117">
            <v>61</v>
          </cell>
          <cell r="K117">
            <v>76</v>
          </cell>
          <cell r="L117" t="str">
            <v>5H</v>
          </cell>
        </row>
        <row r="118">
          <cell r="E118" t="str">
            <v>HF - 9436</v>
          </cell>
          <cell r="F118" t="str">
            <v>Disco Freno Hyundai Tucson NX4E 2.0 4X2, Kia Sportage 2.0 4X2 21-25</v>
          </cell>
          <cell r="G118" t="str">
            <v>S/P</v>
          </cell>
          <cell r="H118">
            <v>300</v>
          </cell>
          <cell r="I118">
            <v>10</v>
          </cell>
          <cell r="J118">
            <v>32</v>
          </cell>
          <cell r="K118">
            <v>76</v>
          </cell>
          <cell r="L118" t="str">
            <v>5H</v>
          </cell>
        </row>
        <row r="119">
          <cell r="E119" t="str">
            <v>HF - 9437</v>
          </cell>
          <cell r="F119" t="str">
            <v>Disco Freno Hyundai Tucson NX4E 2.0 4X2, Kia Sportage 2.0 4X2 21-25</v>
          </cell>
          <cell r="G119" t="str">
            <v>V/D</v>
          </cell>
          <cell r="H119">
            <v>310</v>
          </cell>
          <cell r="I119">
            <v>25</v>
          </cell>
          <cell r="J119">
            <v>48.5</v>
          </cell>
          <cell r="K119">
            <v>69</v>
          </cell>
          <cell r="L119" t="str">
            <v>5H</v>
          </cell>
        </row>
        <row r="120">
          <cell r="C120" t="str">
            <v>BD4051</v>
          </cell>
          <cell r="D120" t="str">
            <v>517123J000</v>
          </cell>
          <cell r="E120" t="str">
            <v>HF - 329</v>
          </cell>
          <cell r="F120" t="str">
            <v>Disco Freno Hyundai Santa Fe 2.2 2.4 2.7 06-12</v>
          </cell>
          <cell r="G120" t="str">
            <v>V/D</v>
          </cell>
          <cell r="H120">
            <v>321</v>
          </cell>
          <cell r="I120">
            <v>28</v>
          </cell>
          <cell r="J120">
            <v>49</v>
          </cell>
          <cell r="K120">
            <v>69</v>
          </cell>
          <cell r="L120" t="str">
            <v>5H</v>
          </cell>
        </row>
        <row r="121">
          <cell r="C121" t="str">
            <v>BD4052</v>
          </cell>
          <cell r="D121" t="str">
            <v>584113J000</v>
          </cell>
          <cell r="E121" t="str">
            <v>HF - 329A</v>
          </cell>
          <cell r="F121" t="str">
            <v>Disco Freno Hyundai Veracruz 3.8 08&gt;</v>
          </cell>
          <cell r="G121" t="str">
            <v>S/P</v>
          </cell>
          <cell r="H121">
            <v>324</v>
          </cell>
          <cell r="I121">
            <v>12</v>
          </cell>
          <cell r="J121">
            <v>67</v>
          </cell>
          <cell r="K121">
            <v>69</v>
          </cell>
          <cell r="L121" t="str">
            <v>5H</v>
          </cell>
        </row>
        <row r="122">
          <cell r="C122" t="str">
            <v>BD5110</v>
          </cell>
          <cell r="D122" t="str">
            <v>584110W000</v>
          </cell>
          <cell r="E122" t="str">
            <v>HF - 329B</v>
          </cell>
          <cell r="F122" t="str">
            <v>Disco Freno Hyundai Santa Fe 2.2 2.4 2.7 06-12</v>
          </cell>
          <cell r="G122" t="str">
            <v>S/P</v>
          </cell>
          <cell r="H122">
            <v>302</v>
          </cell>
          <cell r="I122">
            <v>11</v>
          </cell>
          <cell r="J122">
            <v>71.5</v>
          </cell>
          <cell r="K122">
            <v>69</v>
          </cell>
          <cell r="L122" t="str">
            <v>5H</v>
          </cell>
        </row>
        <row r="123">
          <cell r="C123" t="str">
            <v>BD4106</v>
          </cell>
          <cell r="D123" t="str">
            <v>517122W000</v>
          </cell>
          <cell r="E123" t="str">
            <v>HF - 329G</v>
          </cell>
          <cell r="F123" t="str">
            <v>Disco Freno Hyundai Santa Fe 2.4 12-20</v>
          </cell>
          <cell r="G123" t="str">
            <v>V/D</v>
          </cell>
          <cell r="H123">
            <v>320</v>
          </cell>
          <cell r="I123">
            <v>28</v>
          </cell>
          <cell r="J123">
            <v>49</v>
          </cell>
          <cell r="K123">
            <v>69.5</v>
          </cell>
          <cell r="L123" t="str">
            <v>5H</v>
          </cell>
        </row>
        <row r="124">
          <cell r="C124" t="str">
            <v>BD5107</v>
          </cell>
          <cell r="D124" t="str">
            <v>517122B000</v>
          </cell>
          <cell r="E124" t="str">
            <v>HF - 327A</v>
          </cell>
          <cell r="F124" t="str">
            <v>Disco Freno Hyundai Santa fe 2.7 07-11/ Kia Sorento 2.4 09-13</v>
          </cell>
          <cell r="G124" t="str">
            <v>V/D</v>
          </cell>
          <cell r="H124">
            <v>298</v>
          </cell>
          <cell r="I124">
            <v>28</v>
          </cell>
          <cell r="J124">
            <v>49.5</v>
          </cell>
          <cell r="K124">
            <v>69</v>
          </cell>
          <cell r="L124" t="str">
            <v>5H</v>
          </cell>
        </row>
        <row r="125">
          <cell r="C125" t="str">
            <v>BD5127</v>
          </cell>
          <cell r="D125" t="str">
            <v>517124H500</v>
          </cell>
          <cell r="E125" t="str">
            <v>HF - 107A</v>
          </cell>
          <cell r="F125" t="str">
            <v xml:space="preserve">Disco Freno Hyundai H1 TQ </v>
          </cell>
          <cell r="G125" t="str">
            <v>V/D</v>
          </cell>
          <cell r="H125">
            <v>300</v>
          </cell>
          <cell r="I125">
            <v>30</v>
          </cell>
          <cell r="J125">
            <v>52.5</v>
          </cell>
          <cell r="K125">
            <v>96.3</v>
          </cell>
          <cell r="L125" t="str">
            <v>6H</v>
          </cell>
        </row>
        <row r="126">
          <cell r="C126" t="str">
            <v>BD7500</v>
          </cell>
          <cell r="D126">
            <v>5171207500</v>
          </cell>
          <cell r="E126" t="str">
            <v>HF - 359</v>
          </cell>
          <cell r="F126" t="str">
            <v>Disco Freno Kia Picanto1.0-1.1 05-11</v>
          </cell>
          <cell r="G126" t="str">
            <v>V/D</v>
          </cell>
          <cell r="H126">
            <v>241</v>
          </cell>
          <cell r="I126">
            <v>18</v>
          </cell>
          <cell r="J126">
            <v>49</v>
          </cell>
          <cell r="K126">
            <v>62</v>
          </cell>
          <cell r="L126" t="str">
            <v>4H</v>
          </cell>
        </row>
        <row r="127">
          <cell r="C127" t="str">
            <v>BD7501</v>
          </cell>
          <cell r="D127" t="str">
            <v>51712-G6000</v>
          </cell>
          <cell r="F127" t="str">
            <v xml:space="preserve">Disco Freno Kia Picanto1.0 G3LA HB-5P, 1.2  G4LA HB-5P 20-24 </v>
          </cell>
          <cell r="G127" t="str">
            <v>V/D</v>
          </cell>
          <cell r="H127">
            <v>241</v>
          </cell>
          <cell r="I127">
            <v>18</v>
          </cell>
          <cell r="J127">
            <v>46</v>
          </cell>
          <cell r="K127">
            <v>62.2</v>
          </cell>
          <cell r="L127" t="str">
            <v>4H</v>
          </cell>
        </row>
        <row r="128">
          <cell r="C128" t="str">
            <v>BD5209</v>
          </cell>
          <cell r="D128" t="str">
            <v>51712-G6300</v>
          </cell>
          <cell r="F128" t="str">
            <v xml:space="preserve">Disco Freno Kia Picanto1.0 G3LA HB-5P, 1.2 G4LA HB-5P 17-20  </v>
          </cell>
          <cell r="G128" t="str">
            <v>V/D</v>
          </cell>
          <cell r="H128">
            <v>256</v>
          </cell>
          <cell r="I128">
            <v>20</v>
          </cell>
          <cell r="J128">
            <v>43</v>
          </cell>
          <cell r="K128">
            <v>62</v>
          </cell>
          <cell r="L128" t="str">
            <v>4H</v>
          </cell>
        </row>
        <row r="129">
          <cell r="C129" t="str">
            <v>BD3246</v>
          </cell>
          <cell r="D129" t="str">
            <v>51712-FD200</v>
          </cell>
          <cell r="E129" t="str">
            <v>HF - 360B</v>
          </cell>
          <cell r="F129" t="str">
            <v>Disco Freno Kia Rio Stylus 04-13</v>
          </cell>
          <cell r="G129" t="str">
            <v>V/D</v>
          </cell>
          <cell r="H129">
            <v>235</v>
          </cell>
          <cell r="I129">
            <v>22</v>
          </cell>
          <cell r="J129">
            <v>50</v>
          </cell>
          <cell r="K129">
            <v>55</v>
          </cell>
          <cell r="L129" t="str">
            <v>4H</v>
          </cell>
        </row>
        <row r="130">
          <cell r="C130" t="str">
            <v>BD0004</v>
          </cell>
          <cell r="D130" t="str">
            <v>OK72F-33-251A/78932330004</v>
          </cell>
          <cell r="E130" t="str">
            <v>HF - 353</v>
          </cell>
          <cell r="F130" t="str">
            <v>Disco Freno Kia Pregio 2.7 3.0 97-04</v>
          </cell>
          <cell r="G130" t="str">
            <v>V/D</v>
          </cell>
          <cell r="H130">
            <v>258</v>
          </cell>
          <cell r="I130">
            <v>26</v>
          </cell>
          <cell r="J130">
            <v>56</v>
          </cell>
          <cell r="K130">
            <v>87</v>
          </cell>
          <cell r="L130" t="str">
            <v>6H</v>
          </cell>
        </row>
        <row r="131">
          <cell r="C131" t="str">
            <v>BD5207</v>
          </cell>
          <cell r="D131" t="str">
            <v>517121W000</v>
          </cell>
          <cell r="E131" t="str">
            <v>HF - 360A</v>
          </cell>
          <cell r="F131" t="str">
            <v>Disco Freno Kia Rio 1.6 16-21, Stonic 1.0 21-24 (Hybrido)</v>
          </cell>
          <cell r="G131" t="str">
            <v>V/D</v>
          </cell>
          <cell r="H131">
            <v>280</v>
          </cell>
          <cell r="I131">
            <v>22</v>
          </cell>
          <cell r="J131">
            <v>43.8</v>
          </cell>
          <cell r="K131">
            <v>62.2</v>
          </cell>
          <cell r="L131" t="str">
            <v>4H</v>
          </cell>
        </row>
        <row r="132">
          <cell r="C132" t="str">
            <v>BD0008</v>
          </cell>
          <cell r="D132" t="str">
            <v>OK01133.25XC</v>
          </cell>
          <cell r="E132" t="str">
            <v>HF - 325</v>
          </cell>
          <cell r="F132" t="str">
            <v>Disco Freno Kia Sportage Wago 4x2 4x4 94-04</v>
          </cell>
          <cell r="G132" t="str">
            <v>V/D</v>
          </cell>
          <cell r="H132">
            <v>284.5</v>
          </cell>
          <cell r="I132">
            <v>24</v>
          </cell>
          <cell r="J132">
            <v>51</v>
          </cell>
          <cell r="K132">
            <v>96.5</v>
          </cell>
          <cell r="L132" t="str">
            <v>5H</v>
          </cell>
        </row>
        <row r="133">
          <cell r="C133" t="str">
            <v>BD5184</v>
          </cell>
          <cell r="D133" t="str">
            <v>517121U000</v>
          </cell>
          <cell r="E133" t="str">
            <v>HF - 329D</v>
          </cell>
          <cell r="F133" t="str">
            <v>Disco Freno Kia Sorento 2.4 3.5 09-13</v>
          </cell>
          <cell r="G133" t="str">
            <v>V/D</v>
          </cell>
          <cell r="H133">
            <v>300</v>
          </cell>
          <cell r="I133">
            <v>28</v>
          </cell>
          <cell r="J133">
            <v>49</v>
          </cell>
          <cell r="K133">
            <v>69</v>
          </cell>
          <cell r="L133" t="str">
            <v>5H</v>
          </cell>
        </row>
        <row r="134">
          <cell r="C134" t="str">
            <v>BD1712</v>
          </cell>
          <cell r="D134">
            <v>517123</v>
          </cell>
          <cell r="E134" t="str">
            <v>HF - 326A</v>
          </cell>
          <cell r="F134" t="str">
            <v>Disco Freno Kia Sorento 2.5 3.5 04-06</v>
          </cell>
          <cell r="G134" t="str">
            <v>V/D</v>
          </cell>
          <cell r="H134">
            <v>302</v>
          </cell>
          <cell r="I134">
            <v>28</v>
          </cell>
          <cell r="J134">
            <v>54.1</v>
          </cell>
          <cell r="K134">
            <v>96.6</v>
          </cell>
          <cell r="L134" t="str">
            <v>5H</v>
          </cell>
        </row>
        <row r="135">
          <cell r="C135" t="str">
            <v>BD0005</v>
          </cell>
          <cell r="D135" t="str">
            <v>AA70A16460</v>
          </cell>
          <cell r="E135" t="str">
            <v>HF - 450</v>
          </cell>
          <cell r="F135" t="str">
            <v>Disco Freno Furgoneta Asia Hi-Topic 2.2 2.7 92-95</v>
          </cell>
          <cell r="G135" t="str">
            <v>V/D</v>
          </cell>
          <cell r="H135">
            <v>261</v>
          </cell>
          <cell r="I135">
            <v>20</v>
          </cell>
          <cell r="J135">
            <v>20</v>
          </cell>
          <cell r="K135">
            <v>86</v>
          </cell>
          <cell r="L135" t="str">
            <v>6H</v>
          </cell>
        </row>
        <row r="136">
          <cell r="C136" t="str">
            <v>BD7336/7385</v>
          </cell>
          <cell r="D136" t="str">
            <v>BD.7336/BD.7385</v>
          </cell>
          <cell r="E136" t="str">
            <v>HF - 9342</v>
          </cell>
          <cell r="F136" t="str">
            <v>Disco Freno Mazda 6 2.0 13&gt;, CX5 2.0 2.5 12-24</v>
          </cell>
          <cell r="G136" t="str">
            <v>V/D</v>
          </cell>
          <cell r="H136">
            <v>297</v>
          </cell>
          <cell r="I136">
            <v>28</v>
          </cell>
          <cell r="J136">
            <v>51.5</v>
          </cell>
          <cell r="K136">
            <v>68</v>
          </cell>
          <cell r="L136" t="str">
            <v>5H</v>
          </cell>
        </row>
        <row r="137">
          <cell r="C137" t="str">
            <v>BD3268</v>
          </cell>
          <cell r="D137" t="str">
            <v>5DA033251</v>
          </cell>
          <cell r="E137" t="str">
            <v>HF - 15G</v>
          </cell>
          <cell r="F137" t="str">
            <v>Disco Freno Mazda 6 2.0 02-07/ Ford Fusion 05-12</v>
          </cell>
          <cell r="G137" t="str">
            <v>S/P</v>
          </cell>
          <cell r="H137">
            <v>280</v>
          </cell>
          <cell r="I137">
            <v>10</v>
          </cell>
          <cell r="J137">
            <v>40.299999999999997</v>
          </cell>
          <cell r="K137">
            <v>72</v>
          </cell>
          <cell r="L137" t="str">
            <v>5H</v>
          </cell>
        </row>
        <row r="138">
          <cell r="C138" t="str">
            <v>BD3280</v>
          </cell>
          <cell r="D138" t="str">
            <v>BDWK33251</v>
          </cell>
          <cell r="F138" t="str">
            <v>Disco Freno Mazda CX-30 2.0 5P 4X2 TM</v>
          </cell>
          <cell r="G138" t="str">
            <v>V/D</v>
          </cell>
          <cell r="H138">
            <v>295</v>
          </cell>
          <cell r="I138">
            <v>25</v>
          </cell>
          <cell r="J138">
            <v>46.5</v>
          </cell>
          <cell r="K138">
            <v>68</v>
          </cell>
          <cell r="L138" t="str">
            <v>5H</v>
          </cell>
        </row>
        <row r="139">
          <cell r="C139" t="str">
            <v>BD3251</v>
          </cell>
          <cell r="D139" t="str">
            <v>B00133251</v>
          </cell>
          <cell r="E139" t="str">
            <v>HF - 860</v>
          </cell>
          <cell r="F139" t="str">
            <v xml:space="preserve">Disco Freno Mazda 323 1.3 84-89 </v>
          </cell>
          <cell r="G139" t="str">
            <v>S/D</v>
          </cell>
          <cell r="H139">
            <v>227</v>
          </cell>
          <cell r="I139">
            <v>11</v>
          </cell>
          <cell r="J139">
            <v>31</v>
          </cell>
          <cell r="K139">
            <v>75</v>
          </cell>
          <cell r="L139" t="str">
            <v>4H</v>
          </cell>
        </row>
        <row r="140">
          <cell r="C140" t="str">
            <v>BD3261</v>
          </cell>
          <cell r="D140" t="str">
            <v>BR01-102/B10733251</v>
          </cell>
          <cell r="E140" t="str">
            <v>HF - 867</v>
          </cell>
          <cell r="F140" t="str">
            <v>Disco Freno Mazda 323 1.5 NT NX</v>
          </cell>
          <cell r="G140" t="str">
            <v>V/D</v>
          </cell>
          <cell r="H140">
            <v>238</v>
          </cell>
          <cell r="I140">
            <v>18</v>
          </cell>
          <cell r="J140">
            <v>31</v>
          </cell>
          <cell r="K140">
            <v>75</v>
          </cell>
          <cell r="L140" t="str">
            <v>4H</v>
          </cell>
        </row>
        <row r="141">
          <cell r="E141" t="str">
            <v>HF - 867A</v>
          </cell>
          <cell r="F141" t="str">
            <v>Disco Freno Mazda B2.6 Inyeccion 00-06</v>
          </cell>
          <cell r="G141" t="str">
            <v>V/D</v>
          </cell>
          <cell r="H141">
            <v>274</v>
          </cell>
          <cell r="I141">
            <v>27</v>
          </cell>
          <cell r="J141">
            <v>27.3</v>
          </cell>
          <cell r="K141">
            <v>93</v>
          </cell>
          <cell r="L141" t="str">
            <v>6H</v>
          </cell>
        </row>
        <row r="142">
          <cell r="C142" t="str">
            <v>BD3255</v>
          </cell>
          <cell r="D142" t="str">
            <v>B26Y3325XA</v>
          </cell>
          <cell r="E142" t="str">
            <v>HF - 864</v>
          </cell>
          <cell r="F142" t="str">
            <v>Disco Freno Mazda 323 02-06</v>
          </cell>
          <cell r="G142" t="str">
            <v>V/D</v>
          </cell>
          <cell r="H142">
            <v>235</v>
          </cell>
          <cell r="I142">
            <v>22</v>
          </cell>
          <cell r="J142">
            <v>45</v>
          </cell>
          <cell r="K142">
            <v>55</v>
          </cell>
          <cell r="L142" t="str">
            <v>4H</v>
          </cell>
        </row>
        <row r="143">
          <cell r="C143" t="str">
            <v>BD3256</v>
          </cell>
          <cell r="D143" t="str">
            <v>BB7E3325XA</v>
          </cell>
          <cell r="E143" t="str">
            <v>HF - 865</v>
          </cell>
          <cell r="F143" t="str">
            <v>Disco Freno Mazda Alegro 1.6 00-08</v>
          </cell>
          <cell r="G143" t="str">
            <v>V/D</v>
          </cell>
          <cell r="H143">
            <v>257</v>
          </cell>
          <cell r="I143">
            <v>22</v>
          </cell>
          <cell r="J143">
            <v>45</v>
          </cell>
          <cell r="K143">
            <v>55</v>
          </cell>
          <cell r="L143" t="str">
            <v>4H</v>
          </cell>
        </row>
        <row r="144">
          <cell r="C144" t="str">
            <v>BD3265</v>
          </cell>
          <cell r="D144" t="str">
            <v>BJ0Y3325X</v>
          </cell>
          <cell r="E144" t="str">
            <v>HF - 868</v>
          </cell>
          <cell r="F144" t="str">
            <v xml:space="preserve">Disco Freno Mazda Alegro 323 1.3-1.5 98&gt; </v>
          </cell>
          <cell r="G144" t="str">
            <v>V/D</v>
          </cell>
          <cell r="H144">
            <v>235</v>
          </cell>
          <cell r="I144">
            <v>22</v>
          </cell>
          <cell r="J144">
            <v>46</v>
          </cell>
          <cell r="K144">
            <v>55</v>
          </cell>
          <cell r="L144" t="str">
            <v>4H</v>
          </cell>
        </row>
        <row r="145">
          <cell r="C145" t="str">
            <v>BD3258</v>
          </cell>
          <cell r="D145" t="str">
            <v>F32E1125A</v>
          </cell>
          <cell r="E145" t="str">
            <v>HF - 860A</v>
          </cell>
          <cell r="F145" t="str">
            <v xml:space="preserve">Disco Freno Mazda 626 91-97 </v>
          </cell>
          <cell r="G145" t="str">
            <v>V/D</v>
          </cell>
          <cell r="H145">
            <v>258</v>
          </cell>
          <cell r="I145">
            <v>24</v>
          </cell>
          <cell r="J145">
            <v>48.5</v>
          </cell>
          <cell r="K145">
            <v>72</v>
          </cell>
          <cell r="L145" t="str">
            <v>5H</v>
          </cell>
        </row>
        <row r="146">
          <cell r="C146" t="str">
            <v>BD3272</v>
          </cell>
          <cell r="D146">
            <v>829352279113</v>
          </cell>
          <cell r="E146" t="str">
            <v>HF - 863A</v>
          </cell>
          <cell r="F146" t="str">
            <v>Disco Freno Mazda 3 2.0 04-11 / Mazda 3 sport 2.0 10-11</v>
          </cell>
          <cell r="G146" t="str">
            <v>V/D</v>
          </cell>
          <cell r="H146">
            <v>278</v>
          </cell>
          <cell r="I146">
            <v>25</v>
          </cell>
          <cell r="J146">
            <v>49</v>
          </cell>
          <cell r="K146">
            <v>72</v>
          </cell>
          <cell r="L146" t="str">
            <v>5H</v>
          </cell>
        </row>
        <row r="147">
          <cell r="C147" t="str">
            <v>BD3565</v>
          </cell>
          <cell r="F147" t="str">
            <v>Disco Freno Mazda 3 2.0 13-19 / Mazda CX3 2.0 15-23</v>
          </cell>
          <cell r="G147" t="str">
            <v>V/D</v>
          </cell>
          <cell r="H147">
            <v>295</v>
          </cell>
          <cell r="I147">
            <v>25</v>
          </cell>
          <cell r="J147">
            <v>51.5</v>
          </cell>
          <cell r="K147">
            <v>68</v>
          </cell>
          <cell r="L147" t="str">
            <v>5H</v>
          </cell>
        </row>
        <row r="148">
          <cell r="C148" t="str">
            <v>BD0001</v>
          </cell>
          <cell r="D148" t="str">
            <v>UB39-33-251</v>
          </cell>
          <cell r="E148" t="str">
            <v>HF - 351</v>
          </cell>
          <cell r="F148" t="str">
            <v>Disco Freno Mazda B 2.0-2.2-2.6/ Kia Besta 2.2 93&gt;</v>
          </cell>
          <cell r="G148" t="str">
            <v>V/D</v>
          </cell>
          <cell r="H148">
            <v>256</v>
          </cell>
          <cell r="I148">
            <v>20</v>
          </cell>
          <cell r="J148">
            <v>20.5</v>
          </cell>
          <cell r="K148">
            <v>86</v>
          </cell>
          <cell r="L148" t="str">
            <v>6H</v>
          </cell>
        </row>
        <row r="149">
          <cell r="C149" t="str">
            <v>BD0007</v>
          </cell>
          <cell r="D149" t="str">
            <v>UH7133251</v>
          </cell>
          <cell r="E149" t="str">
            <v>HF - 352</v>
          </cell>
          <cell r="F149" t="str">
            <v>Disco Freno Mazda BT-50 4x2-4x4, B2.6 4x4 07&gt;/ Ford Ranger 07-12</v>
          </cell>
          <cell r="G149" t="str">
            <v>V/D</v>
          </cell>
          <cell r="H149">
            <v>256</v>
          </cell>
          <cell r="I149">
            <v>24</v>
          </cell>
          <cell r="J149">
            <v>24</v>
          </cell>
          <cell r="K149">
            <v>86</v>
          </cell>
          <cell r="L149" t="str">
            <v>6H</v>
          </cell>
        </row>
        <row r="150">
          <cell r="C150" t="str">
            <v>BD6032</v>
          </cell>
          <cell r="D150" t="str">
            <v>UM5133251</v>
          </cell>
          <cell r="E150" t="str">
            <v>HF - 16T</v>
          </cell>
          <cell r="F150" t="str">
            <v xml:space="preserve">Disco Freno Mazda BT-50 4x2 4x4, B2.6 4x4 07&lt;/ Ford Ranger 4x2 07-12 </v>
          </cell>
          <cell r="G150" t="str">
            <v>V/D</v>
          </cell>
          <cell r="H150">
            <v>289</v>
          </cell>
          <cell r="I150">
            <v>28</v>
          </cell>
          <cell r="J150">
            <v>70.5</v>
          </cell>
          <cell r="K150">
            <v>98</v>
          </cell>
          <cell r="L150" t="str">
            <v>6H</v>
          </cell>
        </row>
        <row r="151">
          <cell r="C151" t="str">
            <v>BD7916</v>
          </cell>
          <cell r="D151" t="str">
            <v>AB31 1125AA</v>
          </cell>
          <cell r="E151" t="str">
            <v>HF - 16R</v>
          </cell>
          <cell r="F151" t="str">
            <v>Disco Freno Mazda BT-50 3.2 17&gt;/ Ford Ranger 2.2-3.2 12&gt;</v>
          </cell>
          <cell r="G151" t="str">
            <v>V/D</v>
          </cell>
          <cell r="H151">
            <v>302</v>
          </cell>
          <cell r="I151">
            <v>32</v>
          </cell>
          <cell r="J151">
            <v>61.5</v>
          </cell>
          <cell r="K151">
            <v>98</v>
          </cell>
          <cell r="L151" t="str">
            <v>6H</v>
          </cell>
        </row>
        <row r="152">
          <cell r="C152" t="str">
            <v>BD9282</v>
          </cell>
          <cell r="D152" t="str">
            <v>MB699282</v>
          </cell>
          <cell r="E152" t="str">
            <v>HF - 210B</v>
          </cell>
          <cell r="F152" t="str">
            <v xml:space="preserve">Disco Freno Mitsubishi Lancer 1.6 96-99/ Galan 2.0 </v>
          </cell>
          <cell r="G152" t="str">
            <v>V/D</v>
          </cell>
          <cell r="H152">
            <v>236</v>
          </cell>
          <cell r="I152">
            <v>18</v>
          </cell>
          <cell r="J152">
            <v>45</v>
          </cell>
          <cell r="K152">
            <v>64</v>
          </cell>
          <cell r="L152" t="str">
            <v>4H</v>
          </cell>
        </row>
        <row r="153">
          <cell r="C153" t="str">
            <v>BD0201</v>
          </cell>
          <cell r="D153" t="str">
            <v>MB407031</v>
          </cell>
          <cell r="E153" t="str">
            <v>HF - 200</v>
          </cell>
          <cell r="F153" t="str">
            <v>Disco Freno Mitsubishi L200 4x2 89&gt;</v>
          </cell>
          <cell r="G153" t="str">
            <v>V/D</v>
          </cell>
          <cell r="H153">
            <v>258.5</v>
          </cell>
          <cell r="I153">
            <v>22</v>
          </cell>
          <cell r="J153">
            <v>33.5</v>
          </cell>
          <cell r="K153">
            <v>84</v>
          </cell>
          <cell r="L153" t="str">
            <v>6H</v>
          </cell>
        </row>
        <row r="154">
          <cell r="C154" t="str">
            <v>BD4644</v>
          </cell>
          <cell r="D154" t="str">
            <v>4515A117</v>
          </cell>
          <cell r="E154" t="str">
            <v>HF - 208</v>
          </cell>
          <cell r="F154" t="str">
            <v>Disco Freno Mitsubishi ASX 2.0 11&gt; / Outlander 2.0 2.4 3.0, Jeep Compas 2.0 12&gt;</v>
          </cell>
          <cell r="G154" t="str">
            <v>V/D</v>
          </cell>
          <cell r="H154">
            <v>294</v>
          </cell>
          <cell r="I154">
            <v>26</v>
          </cell>
          <cell r="J154">
            <v>45.7</v>
          </cell>
          <cell r="K154">
            <v>69</v>
          </cell>
          <cell r="L154" t="str">
            <v>5H</v>
          </cell>
        </row>
        <row r="155">
          <cell r="C155" t="str">
            <v>BD7038</v>
          </cell>
          <cell r="D155" t="str">
            <v>MB407038</v>
          </cell>
          <cell r="E155" t="str">
            <v>HF - 200A</v>
          </cell>
          <cell r="F155" t="str">
            <v>Disco Freno Mitsubishi Montero Wagon 4P 2.5 91-93, L200 92-02</v>
          </cell>
          <cell r="G155" t="str">
            <v>V/D</v>
          </cell>
          <cell r="H155">
            <v>277</v>
          </cell>
          <cell r="I155">
            <v>22</v>
          </cell>
          <cell r="J155">
            <v>45</v>
          </cell>
          <cell r="K155">
            <v>87</v>
          </cell>
          <cell r="L155" t="str">
            <v>6H</v>
          </cell>
        </row>
        <row r="156">
          <cell r="C156" t="str">
            <v>BD8716</v>
          </cell>
          <cell r="D156" t="str">
            <v>MB618716</v>
          </cell>
          <cell r="E156" t="str">
            <v>HF - 200C</v>
          </cell>
          <cell r="F156" t="str">
            <v xml:space="preserve">Disco Freno Mitsubishi Montero 2.5-2.7-3.0-3.5 91-00 </v>
          </cell>
          <cell r="G156" t="str">
            <v>V/D</v>
          </cell>
          <cell r="H156">
            <v>276</v>
          </cell>
          <cell r="I156">
            <v>24</v>
          </cell>
          <cell r="J156">
            <v>45.5</v>
          </cell>
          <cell r="K156">
            <v>87</v>
          </cell>
          <cell r="L156" t="str">
            <v>6H</v>
          </cell>
        </row>
        <row r="157">
          <cell r="C157" t="str">
            <v>BD7019</v>
          </cell>
          <cell r="D157" t="str">
            <v>MN102276</v>
          </cell>
          <cell r="E157" t="str">
            <v>HF - 200G</v>
          </cell>
          <cell r="F157" t="str">
            <v>Disco Freno Mitsubishi Montero Sportero 3.2-3.5 08-16</v>
          </cell>
          <cell r="G157" t="str">
            <v>V/D</v>
          </cell>
          <cell r="H157">
            <v>294</v>
          </cell>
          <cell r="I157">
            <v>28</v>
          </cell>
          <cell r="J157">
            <v>46.5</v>
          </cell>
          <cell r="K157">
            <v>94</v>
          </cell>
          <cell r="L157" t="str">
            <v>6H</v>
          </cell>
        </row>
        <row r="158">
          <cell r="C158" t="str">
            <v>BD8067</v>
          </cell>
          <cell r="D158" t="str">
            <v>MR418067</v>
          </cell>
          <cell r="E158" t="str">
            <v>HF - 206A</v>
          </cell>
          <cell r="F158" t="str">
            <v>Disco Freno Mitsubishi Montero 03-08</v>
          </cell>
          <cell r="G158" t="str">
            <v>V/P</v>
          </cell>
          <cell r="H158">
            <v>300</v>
          </cell>
          <cell r="I158">
            <v>22</v>
          </cell>
          <cell r="J158">
            <v>72.5</v>
          </cell>
          <cell r="K158">
            <v>94</v>
          </cell>
          <cell r="L158" t="str">
            <v>6H</v>
          </cell>
        </row>
        <row r="159">
          <cell r="C159" t="str">
            <v>BD4648</v>
          </cell>
          <cell r="D159" t="str">
            <v>4743999AA</v>
          </cell>
          <cell r="E159" t="str">
            <v>HF - 208A</v>
          </cell>
          <cell r="F159" t="str">
            <v>Disco Freno Mitsubishi Oulander 2.0-2.4-3.0, Lancer ASX 2.0 11&lt;, Jeep Compa</v>
          </cell>
          <cell r="G159" t="str">
            <v>S/P</v>
          </cell>
          <cell r="H159">
            <v>302</v>
          </cell>
          <cell r="I159">
            <v>10</v>
          </cell>
          <cell r="J159">
            <v>60</v>
          </cell>
          <cell r="K159">
            <v>80</v>
          </cell>
          <cell r="L159" t="str">
            <v>5H</v>
          </cell>
        </row>
        <row r="160">
          <cell r="D160" t="str">
            <v>4615A125/CA350135</v>
          </cell>
          <cell r="E160" t="str">
            <v>HF - 208C</v>
          </cell>
          <cell r="F160" t="str">
            <v>Disco Freno Mitsubishi Oulander 2.0-2.2-3.0, 16&gt; ASX 2.0 11&lt;, Eclipce cross 2.0 11&gt;</v>
          </cell>
          <cell r="G160" t="str">
            <v>S/P</v>
          </cell>
          <cell r="H160">
            <v>302</v>
          </cell>
          <cell r="I160">
            <v>10</v>
          </cell>
          <cell r="J160">
            <v>36.5</v>
          </cell>
          <cell r="K160">
            <v>69</v>
          </cell>
          <cell r="L160" t="str">
            <v>5H</v>
          </cell>
        </row>
        <row r="161">
          <cell r="C161" t="str">
            <v>BD8120</v>
          </cell>
          <cell r="D161" t="str">
            <v>4020661A01</v>
          </cell>
          <cell r="E161" t="str">
            <v>HF - 610</v>
          </cell>
          <cell r="F161" t="str">
            <v>Disco Freno Nissan Sentra B13 86-90</v>
          </cell>
          <cell r="G161" t="str">
            <v>S/D</v>
          </cell>
          <cell r="H161">
            <v>240</v>
          </cell>
          <cell r="I161">
            <v>12</v>
          </cell>
          <cell r="J161">
            <v>45.5</v>
          </cell>
          <cell r="K161">
            <v>61</v>
          </cell>
          <cell r="L161" t="str">
            <v>4H</v>
          </cell>
        </row>
        <row r="162">
          <cell r="C162" t="str">
            <v>BD5800</v>
          </cell>
          <cell r="D162" t="str">
            <v>40206-58A00</v>
          </cell>
          <cell r="E162" t="str">
            <v>HF - 609</v>
          </cell>
          <cell r="F162" t="str">
            <v>Disco Freno Nissan Sentra B13 1.6 91-925/ Kia Picanto 1.0-1.1 05-11</v>
          </cell>
          <cell r="G162" t="str">
            <v>V/D</v>
          </cell>
          <cell r="H162">
            <v>240</v>
          </cell>
          <cell r="I162">
            <v>18</v>
          </cell>
          <cell r="J162">
            <v>45.5</v>
          </cell>
          <cell r="K162">
            <v>61</v>
          </cell>
          <cell r="L162" t="str">
            <v>4H</v>
          </cell>
        </row>
        <row r="163">
          <cell r="C163" t="str">
            <v>BD4206</v>
          </cell>
          <cell r="D163" t="str">
            <v>40206T00A</v>
          </cell>
          <cell r="E163" t="str">
            <v>HF - 615</v>
          </cell>
          <cell r="F163" t="str">
            <v>Disco Freno Nissan Sentra 1.8-2.0 07&gt;</v>
          </cell>
          <cell r="G163" t="str">
            <v>V/D</v>
          </cell>
          <cell r="H163">
            <v>280</v>
          </cell>
          <cell r="I163">
            <v>24</v>
          </cell>
          <cell r="J163">
            <v>44.5</v>
          </cell>
          <cell r="K163">
            <v>68</v>
          </cell>
          <cell r="L163" t="str">
            <v>4H</v>
          </cell>
        </row>
        <row r="164">
          <cell r="C164" t="str">
            <v>BD2064</v>
          </cell>
          <cell r="D164" t="str">
            <v>402063SG0A</v>
          </cell>
          <cell r="E164" t="str">
            <v>HF - 615G</v>
          </cell>
          <cell r="F164" t="str">
            <v>Disco Freno Nissan Sentra 2.0 13&gt;</v>
          </cell>
          <cell r="G164" t="str">
            <v>V/D</v>
          </cell>
          <cell r="H164">
            <v>280</v>
          </cell>
          <cell r="I164">
            <v>24</v>
          </cell>
          <cell r="J164">
            <v>44</v>
          </cell>
          <cell r="K164">
            <v>68</v>
          </cell>
          <cell r="L164" t="str">
            <v>5H</v>
          </cell>
        </row>
        <row r="165">
          <cell r="C165" t="str">
            <v>BD4758</v>
          </cell>
          <cell r="D165" t="str">
            <v>402065RA2A/RB0A</v>
          </cell>
          <cell r="E165" t="str">
            <v>HF - 615D</v>
          </cell>
          <cell r="F165" t="str">
            <v>Disco Freno Nissan Versa, Kicks 1.6 17-20</v>
          </cell>
          <cell r="G165" t="str">
            <v>V/D</v>
          </cell>
          <cell r="H165">
            <v>258</v>
          </cell>
          <cell r="I165">
            <v>22</v>
          </cell>
          <cell r="J165">
            <v>44</v>
          </cell>
          <cell r="K165">
            <v>61</v>
          </cell>
          <cell r="L165" t="str">
            <v>4H</v>
          </cell>
        </row>
        <row r="166">
          <cell r="C166" t="str">
            <v>BD4738</v>
          </cell>
          <cell r="D166" t="str">
            <v>40206EE51A</v>
          </cell>
          <cell r="E166" t="str">
            <v>HF - 613</v>
          </cell>
          <cell r="F166" t="str">
            <v>Disco Freno Nissan Tiida 1.6-1.8 07-16</v>
          </cell>
          <cell r="G166" t="str">
            <v>V/D</v>
          </cell>
          <cell r="H166">
            <v>260</v>
          </cell>
          <cell r="I166">
            <v>22</v>
          </cell>
          <cell r="J166">
            <v>44</v>
          </cell>
          <cell r="K166">
            <v>68</v>
          </cell>
          <cell r="L166" t="str">
            <v>4H</v>
          </cell>
        </row>
        <row r="167">
          <cell r="C167" t="str">
            <v>BD3101</v>
          </cell>
          <cell r="D167" t="str">
            <v>402060F000</v>
          </cell>
          <cell r="E167" t="str">
            <v>HF - 600</v>
          </cell>
          <cell r="F167" t="str">
            <v>Disco Freno Nissan Frontier Pathfinder 2.4 2.7 3.0 87&gt; (E-G)</v>
          </cell>
          <cell r="G167" t="str">
            <v>V/D</v>
          </cell>
          <cell r="H167">
            <v>277</v>
          </cell>
          <cell r="I167">
            <v>26</v>
          </cell>
          <cell r="J167">
            <v>39.5</v>
          </cell>
          <cell r="K167">
            <v>100</v>
          </cell>
          <cell r="L167" t="str">
            <v>6H</v>
          </cell>
        </row>
        <row r="168">
          <cell r="C168" t="str">
            <v>BD3501</v>
          </cell>
          <cell r="D168" t="str">
            <v>4020610W00</v>
          </cell>
          <cell r="E168" t="str">
            <v>HF - 600A</v>
          </cell>
          <cell r="F168" t="str">
            <v>Disco Freno Nissan Frontier Pathfinder 2.4 85-96</v>
          </cell>
          <cell r="G168" t="str">
            <v>V/D</v>
          </cell>
          <cell r="H168">
            <v>267</v>
          </cell>
          <cell r="I168">
            <v>22</v>
          </cell>
          <cell r="J168">
            <v>39.5</v>
          </cell>
          <cell r="K168">
            <v>100</v>
          </cell>
          <cell r="L168" t="str">
            <v>6H</v>
          </cell>
        </row>
        <row r="169">
          <cell r="C169" t="str">
            <v>BD6744</v>
          </cell>
          <cell r="D169" t="str">
            <v>4020602N00</v>
          </cell>
          <cell r="E169" t="str">
            <v>HF - 600C</v>
          </cell>
          <cell r="F169" t="str">
            <v>Disco Freno Nissan Frontier Pick UP 2.5 92-04 (EG)</v>
          </cell>
          <cell r="G169" t="str">
            <v>V/D</v>
          </cell>
          <cell r="H169">
            <v>259.5</v>
          </cell>
          <cell r="I169">
            <v>26</v>
          </cell>
          <cell r="J169">
            <v>37</v>
          </cell>
          <cell r="K169">
            <v>81.2</v>
          </cell>
          <cell r="L169" t="str">
            <v>6H</v>
          </cell>
        </row>
        <row r="170">
          <cell r="C170" t="str">
            <v>BD1158</v>
          </cell>
          <cell r="F170" t="str">
            <v>Disco Freno Nissan Frontier CS XE CD SE 2.8 02-08 (Diesel)  (EG)</v>
          </cell>
          <cell r="G170" t="str">
            <v>V/D</v>
          </cell>
          <cell r="H170">
            <v>282.7</v>
          </cell>
          <cell r="I170">
            <v>28</v>
          </cell>
          <cell r="J170">
            <v>39.5</v>
          </cell>
          <cell r="K170">
            <v>100</v>
          </cell>
          <cell r="L170" t="str">
            <v>6H</v>
          </cell>
        </row>
        <row r="171">
          <cell r="C171" t="str">
            <v>BD7101</v>
          </cell>
          <cell r="D171">
            <v>40206710</v>
          </cell>
          <cell r="E171" t="str">
            <v>HF - 607</v>
          </cell>
          <cell r="F171" t="str">
            <v>Disco Freno Nissan Sentra B15 1.8 16V 01-06</v>
          </cell>
          <cell r="G171" t="str">
            <v>V/D</v>
          </cell>
          <cell r="H171">
            <v>257</v>
          </cell>
          <cell r="I171">
            <v>22</v>
          </cell>
          <cell r="J171">
            <v>49.2</v>
          </cell>
          <cell r="K171">
            <v>68</v>
          </cell>
          <cell r="L171" t="str">
            <v>4H</v>
          </cell>
        </row>
        <row r="172">
          <cell r="C172" t="str">
            <v>BD2067</v>
          </cell>
          <cell r="D172" t="str">
            <v>402062S400</v>
          </cell>
          <cell r="E172" t="str">
            <v>HF - 617</v>
          </cell>
          <cell r="F172" t="str">
            <v>Disco Freno Nissan Frontier 2WD 98-04, Renault  (EF)</v>
          </cell>
          <cell r="G172" t="str">
            <v>V/D</v>
          </cell>
          <cell r="H172">
            <v>260</v>
          </cell>
          <cell r="I172">
            <v>26</v>
          </cell>
          <cell r="J172">
            <v>40</v>
          </cell>
          <cell r="K172">
            <v>92</v>
          </cell>
          <cell r="L172" t="str">
            <v>6H</v>
          </cell>
        </row>
        <row r="173">
          <cell r="C173" t="str">
            <v>BD4198</v>
          </cell>
          <cell r="D173" t="str">
            <v>402064KH1B</v>
          </cell>
          <cell r="E173" t="str">
            <v>HF - 600B</v>
          </cell>
          <cell r="F173" t="str">
            <v xml:space="preserve">Disco Freno Nissan Frontier NP300 2.5 4x2 4x4 09-16  </v>
          </cell>
          <cell r="G173" t="str">
            <v>V/D</v>
          </cell>
          <cell r="H173">
            <v>296</v>
          </cell>
          <cell r="I173">
            <v>28</v>
          </cell>
          <cell r="J173">
            <v>53</v>
          </cell>
          <cell r="K173">
            <v>68</v>
          </cell>
          <cell r="L173" t="str">
            <v>6H</v>
          </cell>
        </row>
        <row r="174">
          <cell r="C174" t="str">
            <v>BD4200</v>
          </cell>
          <cell r="D174" t="str">
            <v>40206EA00A</v>
          </cell>
          <cell r="E174" t="str">
            <v>HF - 618B</v>
          </cell>
          <cell r="F174" t="str">
            <v xml:space="preserve">Disco Freno Nissan Frontier Pathfinder 2.5-2.8 4x4 02-16 </v>
          </cell>
          <cell r="G174" t="str">
            <v>V/D</v>
          </cell>
          <cell r="H174">
            <v>296</v>
          </cell>
          <cell r="I174">
            <v>28</v>
          </cell>
          <cell r="J174">
            <v>38.5</v>
          </cell>
          <cell r="K174">
            <v>68</v>
          </cell>
          <cell r="L174" t="str">
            <v>6H</v>
          </cell>
        </row>
        <row r="175">
          <cell r="C175" t="str">
            <v>BD2772</v>
          </cell>
          <cell r="D175" t="str">
            <v>402061W600</v>
          </cell>
          <cell r="E175" t="str">
            <v>HF - 618</v>
          </cell>
          <cell r="F175" t="str">
            <v>Disco Freno Nissan Frontier Pathfinder 4X4 99-04 (Con Estrella)</v>
          </cell>
          <cell r="G175" t="str">
            <v>V/D</v>
          </cell>
          <cell r="H175">
            <v>300</v>
          </cell>
          <cell r="I175">
            <v>28</v>
          </cell>
          <cell r="J175">
            <v>38</v>
          </cell>
          <cell r="K175">
            <v>100</v>
          </cell>
          <cell r="L175" t="str">
            <v>6H</v>
          </cell>
        </row>
        <row r="176">
          <cell r="C176" t="str">
            <v>BD4740</v>
          </cell>
          <cell r="D176" t="str">
            <v>402061HL0A</v>
          </cell>
          <cell r="E176" t="str">
            <v>HF - 615B</v>
          </cell>
          <cell r="F176" t="str">
            <v xml:space="preserve">Disco Freno Nissan Versa 1.6, March 1.6 12&gt; </v>
          </cell>
          <cell r="G176" t="str">
            <v>V/D</v>
          </cell>
          <cell r="H176">
            <v>260</v>
          </cell>
          <cell r="I176">
            <v>22</v>
          </cell>
          <cell r="J176">
            <v>44</v>
          </cell>
          <cell r="K176">
            <v>61</v>
          </cell>
          <cell r="L176" t="str">
            <v>4H</v>
          </cell>
        </row>
        <row r="177">
          <cell r="C177" t="str">
            <v>BD4107</v>
          </cell>
          <cell r="D177" t="str">
            <v>402064U107</v>
          </cell>
          <cell r="E177" t="str">
            <v>HF - 619</v>
          </cell>
          <cell r="F177" t="str">
            <v>Disco Freno Nissan X-Trail T30 2.0 2.5 02-08/ Primera 1.6-1.8-2.0</v>
          </cell>
          <cell r="G177" t="str">
            <v>V/D</v>
          </cell>
          <cell r="H177">
            <v>280</v>
          </cell>
          <cell r="I177">
            <v>28</v>
          </cell>
          <cell r="J177">
            <v>49.5</v>
          </cell>
          <cell r="K177">
            <v>68</v>
          </cell>
          <cell r="L177" t="str">
            <v>5H</v>
          </cell>
        </row>
        <row r="178">
          <cell r="C178" t="str">
            <v>BD2059</v>
          </cell>
          <cell r="D178" t="str">
            <v>40206T01A</v>
          </cell>
          <cell r="F178" t="str">
            <v>Disco Freno Nissan X-Trail T30 2.0 2.5 23&gt;, Qashqai 2.0 2.5 23&gt;</v>
          </cell>
          <cell r="G178" t="str">
            <v>V/D</v>
          </cell>
          <cell r="H178">
            <v>320</v>
          </cell>
          <cell r="I178">
            <v>28</v>
          </cell>
          <cell r="J178">
            <v>44</v>
          </cell>
          <cell r="K178">
            <v>68</v>
          </cell>
          <cell r="L178" t="str">
            <v>5H</v>
          </cell>
        </row>
        <row r="179">
          <cell r="C179" t="str">
            <v>BD2071</v>
          </cell>
          <cell r="D179" t="str">
            <v>HF-619B</v>
          </cell>
          <cell r="E179" t="str">
            <v>432068H305</v>
          </cell>
          <cell r="F179" t="str">
            <v>Disco Freno Nissan Qashqai 1.6 4X2, X-Trail T32 2.2 2.5 14-23, Renaul Koleos</v>
          </cell>
          <cell r="G179" t="str">
            <v>V/P</v>
          </cell>
          <cell r="H179">
            <v>292</v>
          </cell>
          <cell r="I179">
            <v>16</v>
          </cell>
          <cell r="J179">
            <v>62</v>
          </cell>
          <cell r="K179">
            <v>68</v>
          </cell>
          <cell r="L179" t="str">
            <v>5H</v>
          </cell>
        </row>
        <row r="180">
          <cell r="C180" t="str">
            <v>BD2089</v>
          </cell>
          <cell r="D180" t="str">
            <v>HF-619A</v>
          </cell>
          <cell r="E180" t="str">
            <v>40206JG00A</v>
          </cell>
          <cell r="F180" t="str">
            <v>Disco Freno Nissan Qashqai 1.6 4X2, X-Trail T32 2.2 2.5 14-23, Renaul Koleos</v>
          </cell>
          <cell r="G180" t="str">
            <v>V/D</v>
          </cell>
          <cell r="H180">
            <v>296</v>
          </cell>
          <cell r="I180">
            <v>26</v>
          </cell>
          <cell r="J180">
            <v>44.5</v>
          </cell>
          <cell r="K180">
            <v>68</v>
          </cell>
          <cell r="L180" t="str">
            <v>5H</v>
          </cell>
        </row>
        <row r="181">
          <cell r="C181" t="str">
            <v>BD4707</v>
          </cell>
          <cell r="D181">
            <v>7701208252</v>
          </cell>
          <cell r="E181" t="str">
            <v>HF - 570</v>
          </cell>
          <cell r="F181" t="str">
            <v>Disco Freno Renault Logan 1.4 08&gt;</v>
          </cell>
          <cell r="G181" t="str">
            <v>S/D</v>
          </cell>
          <cell r="H181">
            <v>259</v>
          </cell>
          <cell r="I181">
            <v>12</v>
          </cell>
          <cell r="J181">
            <v>41</v>
          </cell>
          <cell r="K181">
            <v>61</v>
          </cell>
          <cell r="L181" t="str">
            <v>4H</v>
          </cell>
        </row>
        <row r="182">
          <cell r="C182" t="str">
            <v>BD3106</v>
          </cell>
          <cell r="D182" t="str">
            <v>402066768R</v>
          </cell>
          <cell r="E182" t="str">
            <v>HF - 705B</v>
          </cell>
          <cell r="F182" t="str">
            <v>Disco Freno Renault Kwid 1.0 23-24</v>
          </cell>
          <cell r="G182" t="str">
            <v>V/D</v>
          </cell>
          <cell r="H182">
            <v>238</v>
          </cell>
          <cell r="I182">
            <v>17</v>
          </cell>
          <cell r="J182">
            <v>41</v>
          </cell>
          <cell r="K182">
            <v>61</v>
          </cell>
          <cell r="L182" t="str">
            <v>3H</v>
          </cell>
        </row>
        <row r="183">
          <cell r="C183" t="str">
            <v>BD4705</v>
          </cell>
          <cell r="D183">
            <v>7700704705</v>
          </cell>
          <cell r="E183" t="str">
            <v>HF - 705</v>
          </cell>
          <cell r="F183" t="str">
            <v>Disco Freno Renault Twingo, Clio 1.0 95-16</v>
          </cell>
          <cell r="G183" t="str">
            <v>S/D</v>
          </cell>
          <cell r="H183">
            <v>238</v>
          </cell>
          <cell r="I183">
            <v>12</v>
          </cell>
          <cell r="J183">
            <v>41</v>
          </cell>
          <cell r="K183">
            <v>61</v>
          </cell>
          <cell r="L183" t="str">
            <v>4H</v>
          </cell>
        </row>
        <row r="184">
          <cell r="C184" t="str">
            <v>BD4287</v>
          </cell>
          <cell r="D184">
            <v>7700754287</v>
          </cell>
          <cell r="E184" t="str">
            <v>HF - 287</v>
          </cell>
          <cell r="F184" t="str">
            <v>Disco Freno Renault Symbol Kangoo</v>
          </cell>
          <cell r="G184" t="str">
            <v>V/D</v>
          </cell>
          <cell r="H184">
            <v>238</v>
          </cell>
          <cell r="I184">
            <v>20</v>
          </cell>
          <cell r="J184">
            <v>46</v>
          </cell>
          <cell r="K184">
            <v>61</v>
          </cell>
          <cell r="L184" t="str">
            <v>4H</v>
          </cell>
        </row>
        <row r="185">
          <cell r="C185" t="str">
            <v>BD6572</v>
          </cell>
          <cell r="D185" t="str">
            <v>7700756572/BR05-111.</v>
          </cell>
          <cell r="E185" t="str">
            <v>HF - 572</v>
          </cell>
          <cell r="F185" t="str">
            <v>Disco Freno Renault Clio, Megane 96-99</v>
          </cell>
          <cell r="G185" t="str">
            <v>V/D</v>
          </cell>
          <cell r="H185">
            <v>238</v>
          </cell>
          <cell r="I185">
            <v>20</v>
          </cell>
          <cell r="J185">
            <v>41</v>
          </cell>
          <cell r="K185">
            <v>61</v>
          </cell>
          <cell r="L185" t="str">
            <v>4H</v>
          </cell>
        </row>
        <row r="186">
          <cell r="C186" t="str">
            <v>BD3108</v>
          </cell>
          <cell r="D186" t="str">
            <v>77.01.20.77.95/7701208252</v>
          </cell>
          <cell r="E186" t="str">
            <v>HF - 549B</v>
          </cell>
          <cell r="F186" t="str">
            <v xml:space="preserve">Disco Freno Renault Logan, Sandero, Nissan Tiida 1.6 15-19 </v>
          </cell>
          <cell r="G186" t="str">
            <v>V/D</v>
          </cell>
          <cell r="H186">
            <v>258</v>
          </cell>
          <cell r="I186">
            <v>22</v>
          </cell>
          <cell r="J186">
            <v>44</v>
          </cell>
          <cell r="K186">
            <v>61</v>
          </cell>
          <cell r="L186" t="str">
            <v>4H</v>
          </cell>
        </row>
        <row r="187">
          <cell r="C187" t="str">
            <v>BD3550</v>
          </cell>
          <cell r="D187" t="str">
            <v>7700780892/7700813549</v>
          </cell>
          <cell r="E187" t="str">
            <v>HF - 549</v>
          </cell>
          <cell r="F187" t="str">
            <v>Disco Freno Renault Logan 1.6 07-15/ Sandero 08&gt;, Megano</v>
          </cell>
          <cell r="G187" t="str">
            <v>V/D</v>
          </cell>
          <cell r="H187">
            <v>259</v>
          </cell>
          <cell r="I187">
            <v>21</v>
          </cell>
          <cell r="J187">
            <v>41</v>
          </cell>
          <cell r="K187">
            <v>61</v>
          </cell>
          <cell r="L187" t="str">
            <v>4H</v>
          </cell>
        </row>
        <row r="188">
          <cell r="C188" t="str">
            <v>BD2232</v>
          </cell>
          <cell r="D188">
            <v>6001001601</v>
          </cell>
          <cell r="E188" t="str">
            <v>HF - 232</v>
          </cell>
          <cell r="F188" t="str">
            <v>Disco Freno Renault Megane 2.0 03-06/ Laguna 2.0 95-98</v>
          </cell>
          <cell r="G188" t="str">
            <v>V/D</v>
          </cell>
          <cell r="H188">
            <v>262</v>
          </cell>
          <cell r="I188">
            <v>22</v>
          </cell>
          <cell r="J188">
            <v>44</v>
          </cell>
          <cell r="K188">
            <v>61</v>
          </cell>
          <cell r="L188" t="str">
            <v>4H</v>
          </cell>
        </row>
        <row r="189">
          <cell r="C189" t="str">
            <v>BD4009</v>
          </cell>
          <cell r="D189" t="str">
            <v>402066300R</v>
          </cell>
          <cell r="E189" t="str">
            <v>HF - 571A</v>
          </cell>
          <cell r="F189" t="str">
            <v>Disco Freno Renault Duster 1.6 17&lt;</v>
          </cell>
          <cell r="G189" t="str">
            <v>V/D</v>
          </cell>
          <cell r="H189">
            <v>269</v>
          </cell>
          <cell r="I189">
            <v>22.5</v>
          </cell>
          <cell r="J189">
            <v>44</v>
          </cell>
          <cell r="K189">
            <v>68</v>
          </cell>
          <cell r="L189" t="str">
            <v>5H</v>
          </cell>
        </row>
        <row r="190">
          <cell r="C190" t="str">
            <v>BD4022</v>
          </cell>
          <cell r="D190" t="str">
            <v>402064151R</v>
          </cell>
          <cell r="E190" t="str">
            <v>HF - 571</v>
          </cell>
          <cell r="F190" t="str">
            <v>Disco Freno Renault Duster 2.0 17&lt;</v>
          </cell>
          <cell r="G190" t="str">
            <v>V/D</v>
          </cell>
          <cell r="H190">
            <v>280</v>
          </cell>
          <cell r="I190">
            <v>24</v>
          </cell>
          <cell r="J190">
            <v>44</v>
          </cell>
          <cell r="K190">
            <v>68</v>
          </cell>
          <cell r="L190" t="str">
            <v>5H</v>
          </cell>
        </row>
        <row r="191">
          <cell r="C191" t="str">
            <v>BD7829</v>
          </cell>
          <cell r="D191">
            <v>7701206118</v>
          </cell>
          <cell r="E191" t="str">
            <v>HF - 829</v>
          </cell>
          <cell r="F191" t="str">
            <v>Disco Freno Renault Megane 1.6 16V 06&gt; Con ABS, Scenic 1.6 01-10</v>
          </cell>
          <cell r="G191" t="str">
            <v>V/D</v>
          </cell>
          <cell r="H191">
            <v>280</v>
          </cell>
          <cell r="I191">
            <v>24</v>
          </cell>
          <cell r="J191">
            <v>44.5</v>
          </cell>
          <cell r="K191">
            <v>61</v>
          </cell>
          <cell r="L191" t="str">
            <v>4H</v>
          </cell>
        </row>
        <row r="192">
          <cell r="C192" t="str">
            <v>BD6328</v>
          </cell>
          <cell r="D192">
            <v>7701206327</v>
          </cell>
          <cell r="E192" t="str">
            <v>HF - 328</v>
          </cell>
          <cell r="F192" t="str">
            <v>Disco Freno Renault Scenic 1.6 16V 99-03 (Con Cubo)</v>
          </cell>
          <cell r="G192" t="str">
            <v>S/P</v>
          </cell>
          <cell r="H192">
            <v>274</v>
          </cell>
          <cell r="I192">
            <v>11</v>
          </cell>
          <cell r="J192">
            <v>82.2</v>
          </cell>
          <cell r="K192">
            <v>62</v>
          </cell>
          <cell r="L192" t="str">
            <v>4H</v>
          </cell>
        </row>
        <row r="193">
          <cell r="C193" t="str">
            <v>BD1700</v>
          </cell>
          <cell r="D193" t="str">
            <v>45251SK7A00</v>
          </cell>
          <cell r="E193" t="str">
            <v>HF - 700</v>
          </cell>
          <cell r="F193" t="str">
            <v>Disco Freno Honda Civic 93-95</v>
          </cell>
          <cell r="G193" t="str">
            <v>V/D</v>
          </cell>
          <cell r="H193">
            <v>262</v>
          </cell>
          <cell r="I193">
            <v>21</v>
          </cell>
          <cell r="J193">
            <v>44.6</v>
          </cell>
          <cell r="K193">
            <v>64.2</v>
          </cell>
          <cell r="L193" t="str">
            <v>4H</v>
          </cell>
        </row>
        <row r="194">
          <cell r="C194" t="str">
            <v>BD2913</v>
          </cell>
          <cell r="D194" t="str">
            <v>42510S9AE50</v>
          </cell>
          <cell r="E194" t="str">
            <v>HF - 712A</v>
          </cell>
          <cell r="F194" t="str">
            <v>Disco Freno Honda CRV 2.4 07-16</v>
          </cell>
          <cell r="G194" t="str">
            <v>S/P</v>
          </cell>
          <cell r="H194">
            <v>305</v>
          </cell>
          <cell r="I194">
            <v>9</v>
          </cell>
          <cell r="J194">
            <v>61</v>
          </cell>
          <cell r="K194">
            <v>64</v>
          </cell>
          <cell r="L194" t="str">
            <v>5H</v>
          </cell>
        </row>
        <row r="195">
          <cell r="C195" t="str">
            <v>BD2914</v>
          </cell>
          <cell r="D195" t="str">
            <v>45251STKA00</v>
          </cell>
          <cell r="E195" t="str">
            <v>HF - 712A</v>
          </cell>
          <cell r="F195" t="str">
            <v>Disco Freno Honda CRV 2.4 07-16</v>
          </cell>
          <cell r="G195" t="str">
            <v>V/D</v>
          </cell>
          <cell r="H195">
            <v>296</v>
          </cell>
          <cell r="I195">
            <v>28</v>
          </cell>
          <cell r="J195">
            <v>47.5</v>
          </cell>
          <cell r="K195">
            <v>64</v>
          </cell>
          <cell r="L195" t="str">
            <v>5H</v>
          </cell>
        </row>
        <row r="196">
          <cell r="C196" t="str">
            <v>BD4685</v>
          </cell>
          <cell r="D196" t="str">
            <v>4246P7</v>
          </cell>
          <cell r="E196" t="str">
            <v>HF - 685</v>
          </cell>
          <cell r="F196" t="str">
            <v>Disco Freno Peugeot 407 2.0 05-09</v>
          </cell>
          <cell r="G196" t="str">
            <v>V/D</v>
          </cell>
          <cell r="H196">
            <v>283</v>
          </cell>
          <cell r="I196">
            <v>25.5</v>
          </cell>
          <cell r="J196">
            <v>47.7</v>
          </cell>
          <cell r="K196">
            <v>71</v>
          </cell>
          <cell r="L196" t="str">
            <v>5H</v>
          </cell>
        </row>
        <row r="197">
          <cell r="C197" t="str">
            <v>BD4608</v>
          </cell>
          <cell r="D197" t="str">
            <v>4246E.0</v>
          </cell>
          <cell r="E197" t="str">
            <v>HF - 752B</v>
          </cell>
          <cell r="F197" t="str">
            <v>Disco Freno Peugeot 407 04-09, Citroen C5</v>
          </cell>
          <cell r="G197" t="str">
            <v>V/D</v>
          </cell>
          <cell r="H197">
            <v>329</v>
          </cell>
          <cell r="I197">
            <v>30</v>
          </cell>
          <cell r="J197">
            <v>48</v>
          </cell>
          <cell r="K197">
            <v>71</v>
          </cell>
          <cell r="L197" t="str">
            <v>5H</v>
          </cell>
        </row>
        <row r="198">
          <cell r="C198" t="str">
            <v>BD4298</v>
          </cell>
          <cell r="D198" t="str">
            <v>4246R8</v>
          </cell>
          <cell r="E198" t="str">
            <v>HF - 298</v>
          </cell>
          <cell r="F198" t="str">
            <v>Disco Freno Peugeot 206 1.4 (C/ABS) 98&gt;/  Lifan 520</v>
          </cell>
          <cell r="G198" t="str">
            <v>S/D</v>
          </cell>
          <cell r="H198">
            <v>247</v>
          </cell>
          <cell r="I198">
            <v>13</v>
          </cell>
          <cell r="J198">
            <v>34.5</v>
          </cell>
          <cell r="K198">
            <v>66</v>
          </cell>
          <cell r="L198" t="str">
            <v>4H</v>
          </cell>
        </row>
        <row r="199">
          <cell r="C199" t="str">
            <v>BD4750</v>
          </cell>
          <cell r="D199" t="str">
            <v>4246W7</v>
          </cell>
          <cell r="E199" t="str">
            <v>HF - 750</v>
          </cell>
          <cell r="F199" t="str">
            <v>Disco Freno  Peugeot 206 1.4-1.6-2.0/ 207 1.4-1.6/ Citroen Elysee 1.6</v>
          </cell>
          <cell r="G199" t="str">
            <v>V/D</v>
          </cell>
          <cell r="H199">
            <v>266</v>
          </cell>
          <cell r="I199">
            <v>22</v>
          </cell>
          <cell r="J199">
            <v>34</v>
          </cell>
          <cell r="K199">
            <v>66</v>
          </cell>
          <cell r="L199" t="str">
            <v>4H</v>
          </cell>
        </row>
        <row r="200">
          <cell r="C200" t="str">
            <v>BD4755</v>
          </cell>
          <cell r="D200">
            <v>424924</v>
          </cell>
          <cell r="E200" t="str">
            <v>HF - 752A</v>
          </cell>
          <cell r="F200" t="str">
            <v xml:space="preserve">Disco Freno  Citroin C4-C5 1.6-2.0 08-19, Peugeot 308-508-3008-5008 1.6-2.0 08-18 </v>
          </cell>
          <cell r="G200" t="str">
            <v>V/D</v>
          </cell>
          <cell r="H200">
            <v>304</v>
          </cell>
          <cell r="I200">
            <v>28</v>
          </cell>
          <cell r="J200">
            <v>48</v>
          </cell>
          <cell r="K200">
            <v>71</v>
          </cell>
          <cell r="L200" t="str">
            <v>5H</v>
          </cell>
        </row>
        <row r="201">
          <cell r="C201" t="str">
            <v>BD4746</v>
          </cell>
          <cell r="D201" t="str">
            <v>4246W9</v>
          </cell>
          <cell r="E201" t="str">
            <v>HF - 746</v>
          </cell>
          <cell r="F201" t="str">
            <v xml:space="preserve">Disco Freno  Peugeot 306 1.8 93-02, 206 1.6 00-08/ Citroin Xsara 1.4 03-05 </v>
          </cell>
          <cell r="G201" t="str">
            <v>S/P</v>
          </cell>
          <cell r="H201">
            <v>247</v>
          </cell>
          <cell r="I201">
            <v>9</v>
          </cell>
          <cell r="J201">
            <v>35.299999999999997</v>
          </cell>
          <cell r="K201">
            <v>71</v>
          </cell>
          <cell r="L201" t="str">
            <v>4H</v>
          </cell>
        </row>
        <row r="202">
          <cell r="C202" t="str">
            <v>BD1607</v>
          </cell>
          <cell r="D202">
            <v>4351116120</v>
          </cell>
          <cell r="E202" t="str">
            <v>HF - 510</v>
          </cell>
          <cell r="F202" t="str">
            <v xml:space="preserve">Disco Freno Toyota Tercel 90-97 </v>
          </cell>
          <cell r="G202" t="str">
            <v>V/D</v>
          </cell>
          <cell r="H202">
            <v>238</v>
          </cell>
          <cell r="I202">
            <v>18</v>
          </cell>
          <cell r="J202">
            <v>43</v>
          </cell>
          <cell r="K202">
            <v>55</v>
          </cell>
          <cell r="L202" t="str">
            <v>4H</v>
          </cell>
        </row>
        <row r="203">
          <cell r="C203" t="str">
            <v>BD2020</v>
          </cell>
          <cell r="D203">
            <v>4351252020</v>
          </cell>
          <cell r="E203" t="str">
            <v>HF - 489</v>
          </cell>
          <cell r="F203" t="str">
            <v xml:space="preserve">Disco Freno Toyota Yaris 99-06  </v>
          </cell>
          <cell r="G203" t="str">
            <v>V/D</v>
          </cell>
          <cell r="H203">
            <v>234.5</v>
          </cell>
          <cell r="I203">
            <v>18</v>
          </cell>
          <cell r="J203">
            <v>43</v>
          </cell>
          <cell r="K203">
            <v>55</v>
          </cell>
          <cell r="L203" t="str">
            <v>4H</v>
          </cell>
        </row>
        <row r="204">
          <cell r="C204" t="str">
            <v>BD2100</v>
          </cell>
          <cell r="D204" t="str">
            <v>43512-02060/4351202100</v>
          </cell>
          <cell r="E204" t="str">
            <v>HF - 507</v>
          </cell>
          <cell r="F204" t="str">
            <v>Disco Freno Toyota Corolla 1.6-1.8 03-08</v>
          </cell>
          <cell r="G204" t="str">
            <v>V/D</v>
          </cell>
          <cell r="H204">
            <v>255</v>
          </cell>
          <cell r="I204">
            <v>25</v>
          </cell>
          <cell r="J204">
            <v>49.5</v>
          </cell>
          <cell r="K204">
            <v>55</v>
          </cell>
          <cell r="L204" t="str">
            <v>4H</v>
          </cell>
        </row>
        <row r="205">
          <cell r="C205" t="str">
            <v>BD2251</v>
          </cell>
          <cell r="D205" t="str">
            <v>4243102090/424310200</v>
          </cell>
          <cell r="E205" t="str">
            <v>HF - 502</v>
          </cell>
          <cell r="F205" t="str">
            <v>Disco Freno Toyota Corolla 1.6-1.8 03-08</v>
          </cell>
          <cell r="G205" t="str">
            <v>S/P</v>
          </cell>
          <cell r="H205">
            <v>258</v>
          </cell>
          <cell r="I205">
            <v>9</v>
          </cell>
          <cell r="J205">
            <v>55</v>
          </cell>
          <cell r="K205">
            <v>55</v>
          </cell>
          <cell r="L205" t="str">
            <v>4H</v>
          </cell>
        </row>
        <row r="206">
          <cell r="C206" t="str">
            <v>BD5030</v>
          </cell>
          <cell r="D206">
            <v>4351205030</v>
          </cell>
          <cell r="E206" t="str">
            <v>HF - 509</v>
          </cell>
          <cell r="F206" t="str">
            <v>Disco Freno Toyota Corolla 1.6-1.8-2.0 97&lt;</v>
          </cell>
          <cell r="G206" t="str">
            <v>V/D</v>
          </cell>
          <cell r="H206">
            <v>260</v>
          </cell>
          <cell r="I206">
            <v>25</v>
          </cell>
          <cell r="J206">
            <v>49.5</v>
          </cell>
          <cell r="K206">
            <v>55</v>
          </cell>
          <cell r="L206" t="str">
            <v>5H</v>
          </cell>
        </row>
        <row r="207">
          <cell r="C207" t="str">
            <v>BD5441</v>
          </cell>
          <cell r="D207">
            <v>4351202290</v>
          </cell>
          <cell r="E207" t="str">
            <v>HF - 504</v>
          </cell>
          <cell r="F207" t="str">
            <v xml:space="preserve">Disco Freno Toyota Corolla 1.6-1.8 08-14/ Corrolla 2.0 10-14 </v>
          </cell>
          <cell r="G207" t="str">
            <v>V/D</v>
          </cell>
          <cell r="H207">
            <v>273</v>
          </cell>
          <cell r="I207">
            <v>26</v>
          </cell>
          <cell r="J207">
            <v>49.5</v>
          </cell>
          <cell r="K207">
            <v>55</v>
          </cell>
          <cell r="L207" t="str">
            <v>5H</v>
          </cell>
        </row>
        <row r="208">
          <cell r="C208" t="str">
            <v>BD5442</v>
          </cell>
          <cell r="D208">
            <v>4243102270</v>
          </cell>
          <cell r="E208" t="str">
            <v>HF - 504A</v>
          </cell>
          <cell r="F208" t="str">
            <v>Disco Freno Toyota Corolla 1.8 08-17</v>
          </cell>
          <cell r="G208" t="str">
            <v>S/P</v>
          </cell>
          <cell r="H208">
            <v>270</v>
          </cell>
          <cell r="I208">
            <v>10</v>
          </cell>
          <cell r="J208">
            <v>37</v>
          </cell>
          <cell r="K208">
            <v>55</v>
          </cell>
          <cell r="L208" t="str">
            <v>5H</v>
          </cell>
        </row>
        <row r="209">
          <cell r="C209" t="str">
            <v>BD2038</v>
          </cell>
          <cell r="D209">
            <v>4351252120</v>
          </cell>
          <cell r="E209" t="str">
            <v>HF - 9347</v>
          </cell>
          <cell r="F209" t="str">
            <v>Disco Freno Toyota Yaris 1.0 1.5 05-18/ Nitro 1.3 06-13/ Corolla 1.5 12-14/ Prius 1.5 12-22</v>
          </cell>
          <cell r="G209" t="str">
            <v>V/D</v>
          </cell>
          <cell r="H209">
            <v>255</v>
          </cell>
          <cell r="I209">
            <v>22</v>
          </cell>
          <cell r="J209">
            <v>46.5</v>
          </cell>
          <cell r="K209">
            <v>55</v>
          </cell>
          <cell r="L209" t="str">
            <v>4H</v>
          </cell>
        </row>
        <row r="210">
          <cell r="C210" t="str">
            <v>BD2120</v>
          </cell>
          <cell r="D210" t="str">
            <v>435120D160</v>
          </cell>
          <cell r="E210" t="str">
            <v>HF - 513</v>
          </cell>
          <cell r="F210" t="str">
            <v>Disco Freno Toyota Yaris 1.5 18-23</v>
          </cell>
          <cell r="G210" t="str">
            <v>V/D</v>
          </cell>
          <cell r="H210">
            <v>257</v>
          </cell>
          <cell r="I210">
            <v>22</v>
          </cell>
          <cell r="J210">
            <v>45</v>
          </cell>
          <cell r="K210">
            <v>55</v>
          </cell>
          <cell r="L210" t="str">
            <v>4H</v>
          </cell>
        </row>
        <row r="211">
          <cell r="C211" t="str">
            <v>BD2078</v>
          </cell>
          <cell r="D211">
            <v>4351242030</v>
          </cell>
          <cell r="E211" t="str">
            <v>HF - 514</v>
          </cell>
          <cell r="F211" t="str">
            <v>Disco Freno Toyota Rav4 2.0 00-05</v>
          </cell>
          <cell r="G211" t="str">
            <v>V/D</v>
          </cell>
          <cell r="H211">
            <v>275</v>
          </cell>
          <cell r="I211">
            <v>25</v>
          </cell>
          <cell r="J211">
            <v>49</v>
          </cell>
          <cell r="K211">
            <v>62</v>
          </cell>
          <cell r="L211" t="str">
            <v>5H</v>
          </cell>
        </row>
        <row r="212">
          <cell r="C212" t="str">
            <v>BD2882</v>
          </cell>
          <cell r="D212">
            <v>4243142060</v>
          </cell>
          <cell r="E212" t="str">
            <v>HF - 514B</v>
          </cell>
          <cell r="F212" t="str">
            <v>Disco Freno Toyota Rav4 2.4 06-12</v>
          </cell>
          <cell r="G212" t="str">
            <v>S/P</v>
          </cell>
          <cell r="H212">
            <v>281</v>
          </cell>
          <cell r="I212">
            <v>12</v>
          </cell>
          <cell r="J212">
            <v>55</v>
          </cell>
          <cell r="K212">
            <v>62</v>
          </cell>
          <cell r="L212" t="str">
            <v>5H</v>
          </cell>
        </row>
        <row r="213">
          <cell r="C213" t="str">
            <v>BD4137</v>
          </cell>
          <cell r="E213" t="str">
            <v>HF - 507A</v>
          </cell>
          <cell r="F213" t="str">
            <v>Disco Freno Toyota Rav4, Corolla Cross 19&gt;</v>
          </cell>
          <cell r="G213" t="str">
            <v>V/D</v>
          </cell>
          <cell r="H213">
            <v>305</v>
          </cell>
          <cell r="I213">
            <v>28</v>
          </cell>
          <cell r="J213">
            <v>49.5</v>
          </cell>
          <cell r="K213">
            <v>62</v>
          </cell>
          <cell r="L213" t="str">
            <v>5H</v>
          </cell>
        </row>
        <row r="214">
          <cell r="C214" t="str">
            <v>BD6190</v>
          </cell>
          <cell r="D214" t="str">
            <v>43512-26190</v>
          </cell>
          <cell r="E214" t="str">
            <v>HF - 493</v>
          </cell>
          <cell r="F214" t="str">
            <v xml:space="preserve">Disco Freno Toyota Hiace 02-14/ Foton View 14-19/ Jin Bei Haise 07-19 </v>
          </cell>
          <cell r="G214" t="str">
            <v>V/D</v>
          </cell>
          <cell r="H214">
            <v>285</v>
          </cell>
          <cell r="I214">
            <v>28</v>
          </cell>
          <cell r="J214">
            <v>48.5</v>
          </cell>
          <cell r="K214">
            <v>105</v>
          </cell>
          <cell r="L214" t="str">
            <v>6H</v>
          </cell>
        </row>
        <row r="215">
          <cell r="C215" t="str">
            <v>BD7034</v>
          </cell>
          <cell r="D215" t="str">
            <v>43512OK010</v>
          </cell>
          <cell r="E215" t="str">
            <v>HF - 500A</v>
          </cell>
          <cell r="F215" t="str">
            <v>Disco Freno Toyota Hilux 4x2 2.7 (Argentina) 2007&lt;</v>
          </cell>
          <cell r="G215" t="str">
            <v>V/D</v>
          </cell>
          <cell r="H215">
            <v>255</v>
          </cell>
          <cell r="I215">
            <v>28</v>
          </cell>
          <cell r="J215">
            <v>58.5</v>
          </cell>
          <cell r="K215">
            <v>62</v>
          </cell>
          <cell r="L215" t="str">
            <v>5H</v>
          </cell>
        </row>
        <row r="216">
          <cell r="C216" t="str">
            <v>BD5180</v>
          </cell>
          <cell r="D216" t="str">
            <v>4351235180/43512-26040</v>
          </cell>
          <cell r="E216" t="str">
            <v>HF - 500</v>
          </cell>
          <cell r="F216" t="str">
            <v>Disco Freno Toyota Hilux 4x2 93-04, Stout II / Jimbei/ Golden Dragon</v>
          </cell>
          <cell r="G216" t="str">
            <v>V/D</v>
          </cell>
          <cell r="H216">
            <v>257</v>
          </cell>
          <cell r="I216">
            <v>25</v>
          </cell>
          <cell r="J216">
            <v>46.5</v>
          </cell>
          <cell r="K216">
            <v>84</v>
          </cell>
          <cell r="L216" t="str">
            <v>5H</v>
          </cell>
        </row>
        <row r="217">
          <cell r="C217" t="str">
            <v>BD5190</v>
          </cell>
          <cell r="D217">
            <v>4351235190</v>
          </cell>
          <cell r="E217" t="str">
            <v>HF - 482</v>
          </cell>
          <cell r="F217" t="str">
            <v xml:space="preserve">Disco Freno Toyota Hilux 4x4 92-04  </v>
          </cell>
          <cell r="G217" t="str">
            <v>V/D</v>
          </cell>
          <cell r="H217">
            <v>289</v>
          </cell>
          <cell r="I217">
            <v>20</v>
          </cell>
          <cell r="J217">
            <v>64.5</v>
          </cell>
          <cell r="K217">
            <v>100</v>
          </cell>
          <cell r="L217" t="str">
            <v>6H</v>
          </cell>
        </row>
        <row r="218">
          <cell r="C218" t="str">
            <v>BD7027</v>
          </cell>
          <cell r="D218" t="str">
            <v>43512OK120</v>
          </cell>
          <cell r="E218" t="str">
            <v>HF - 492E</v>
          </cell>
          <cell r="F218" t="str">
            <v>Disco Freno Toyota Hilux Vigo 2.5 2.7 4x2 10-15</v>
          </cell>
          <cell r="G218" t="str">
            <v>V/D</v>
          </cell>
          <cell r="H218">
            <v>275</v>
          </cell>
          <cell r="I218">
            <v>28</v>
          </cell>
          <cell r="J218">
            <v>59</v>
          </cell>
          <cell r="K218">
            <v>62</v>
          </cell>
          <cell r="L218" t="str">
            <v>5H</v>
          </cell>
        </row>
        <row r="219">
          <cell r="C219" t="str">
            <v>BD6004</v>
          </cell>
          <cell r="D219">
            <v>43512235170</v>
          </cell>
          <cell r="E219" t="str">
            <v>HF - 486</v>
          </cell>
          <cell r="F219" t="str">
            <v>Disco Freno Toyota Hilux 2.4 97-04/ 4-Runner 3.0 4x4 R15 98&lt;</v>
          </cell>
          <cell r="G219" t="str">
            <v>V/D</v>
          </cell>
          <cell r="H219">
            <v>302</v>
          </cell>
          <cell r="I219">
            <v>20</v>
          </cell>
          <cell r="J219">
            <v>48</v>
          </cell>
          <cell r="K219">
            <v>100</v>
          </cell>
          <cell r="L219" t="str">
            <v>6H</v>
          </cell>
        </row>
        <row r="220">
          <cell r="D220">
            <v>4351206090</v>
          </cell>
          <cell r="E220" t="str">
            <v>HF - 515B</v>
          </cell>
          <cell r="F220" t="str">
            <v>Disco Freno Toyota Rav4 2.4 13-21</v>
          </cell>
          <cell r="G220" t="str">
            <v>V/D</v>
          </cell>
          <cell r="H220">
            <v>296</v>
          </cell>
          <cell r="I220">
            <v>28</v>
          </cell>
          <cell r="J220">
            <v>49.5</v>
          </cell>
          <cell r="K220">
            <v>62</v>
          </cell>
          <cell r="L220" t="str">
            <v>5H</v>
          </cell>
        </row>
        <row r="221">
          <cell r="C221" t="str">
            <v>BD4211</v>
          </cell>
          <cell r="D221" t="str">
            <v>43512OK080</v>
          </cell>
          <cell r="E221" t="str">
            <v>HF - 511</v>
          </cell>
          <cell r="F221" t="str">
            <v>Disco Freno Toyota Hilux 3.0 4x2 4x4 05-08/ Vigo 2.5 4x2 4x4 04-13</v>
          </cell>
          <cell r="G221" t="str">
            <v>V/D</v>
          </cell>
          <cell r="H221">
            <v>297</v>
          </cell>
          <cell r="I221">
            <v>25</v>
          </cell>
          <cell r="J221">
            <v>67.5</v>
          </cell>
          <cell r="K221">
            <v>108</v>
          </cell>
          <cell r="L221" t="str">
            <v>6H</v>
          </cell>
        </row>
        <row r="222">
          <cell r="C222" t="str">
            <v>BD4120</v>
          </cell>
          <cell r="D222" t="str">
            <v>43512-OK170</v>
          </cell>
          <cell r="F222" t="str">
            <v>Disco Freno Toyota Hilux 2.7 4X2 16-22</v>
          </cell>
          <cell r="G222" t="str">
            <v>V/D</v>
          </cell>
          <cell r="H222">
            <v>296</v>
          </cell>
          <cell r="I222">
            <v>30</v>
          </cell>
          <cell r="J222">
            <v>59</v>
          </cell>
          <cell r="K222">
            <v>62</v>
          </cell>
          <cell r="L222" t="str">
            <v>5H</v>
          </cell>
        </row>
        <row r="223">
          <cell r="C223" t="str">
            <v>BD4113</v>
          </cell>
          <cell r="D223" t="str">
            <v>43512OK150/43512-25320</v>
          </cell>
          <cell r="E223" t="str">
            <v>HF - 512</v>
          </cell>
          <cell r="F223" t="str">
            <v>Disco Freno Toyota Hilux 2.5-2.7-3.0-4.0 04-15/ FJ Cruiser 4.0 07&gt; (R-16)</v>
          </cell>
          <cell r="G223" t="str">
            <v>V/D</v>
          </cell>
          <cell r="H223">
            <v>319</v>
          </cell>
          <cell r="I223">
            <v>28</v>
          </cell>
          <cell r="J223">
            <v>67.5</v>
          </cell>
          <cell r="K223">
            <v>108</v>
          </cell>
          <cell r="L223" t="str">
            <v>6H</v>
          </cell>
        </row>
        <row r="224">
          <cell r="D224" t="str">
            <v>43512OK220</v>
          </cell>
          <cell r="E224" t="str">
            <v>HF - 512A</v>
          </cell>
          <cell r="F224" t="str">
            <v>Disco Freno Toyota Fortuner 2.7 4X4 17-24</v>
          </cell>
          <cell r="G224" t="str">
            <v>V/D</v>
          </cell>
          <cell r="H224">
            <v>338</v>
          </cell>
          <cell r="I224">
            <v>28</v>
          </cell>
          <cell r="J224">
            <v>67.5</v>
          </cell>
          <cell r="K224">
            <v>108</v>
          </cell>
          <cell r="L224" t="str">
            <v>6H</v>
          </cell>
        </row>
        <row r="225">
          <cell r="C225" t="str">
            <v>BD2917</v>
          </cell>
          <cell r="D225" t="str">
            <v>3504050P3031N</v>
          </cell>
          <cell r="E225" t="str">
            <v>HF - 512B</v>
          </cell>
          <cell r="F225" t="str">
            <v>Disco Freno Toyota New Fortuner 2.7 4X4 17-24/ Jac T6 T8 4X2 4X4</v>
          </cell>
          <cell r="G225" t="str">
            <v>V/P</v>
          </cell>
          <cell r="H225">
            <v>312</v>
          </cell>
          <cell r="I225">
            <v>18</v>
          </cell>
          <cell r="J225">
            <v>68</v>
          </cell>
          <cell r="K225">
            <v>108</v>
          </cell>
          <cell r="L225" t="str">
            <v>6H</v>
          </cell>
        </row>
        <row r="226">
          <cell r="D226" t="str">
            <v>3504300P33A0</v>
          </cell>
          <cell r="F226" t="str">
            <v>Disco Freno Jac T6 T8 2.0 4X2 4X4</v>
          </cell>
          <cell r="G226" t="str">
            <v>V/P</v>
          </cell>
          <cell r="H226">
            <v>331</v>
          </cell>
          <cell r="I226">
            <v>20</v>
          </cell>
          <cell r="J226">
            <v>51.4</v>
          </cell>
          <cell r="K226">
            <v>108</v>
          </cell>
          <cell r="L226" t="str">
            <v>6H</v>
          </cell>
        </row>
        <row r="227">
          <cell r="C227" t="str">
            <v>BD4118</v>
          </cell>
          <cell r="D227" t="str">
            <v>435120K110/435120K250</v>
          </cell>
          <cell r="E227" t="str">
            <v>HF - 512C</v>
          </cell>
          <cell r="F227" t="str">
            <v>Disco Freno Toyota Hilux Revo 4x2 2.7 16-20/ Jac T6 T8 (R-16)</v>
          </cell>
          <cell r="G227" t="str">
            <v>V/D</v>
          </cell>
          <cell r="H227">
            <v>319</v>
          </cell>
          <cell r="I227">
            <v>28</v>
          </cell>
          <cell r="J227">
            <v>67.5</v>
          </cell>
          <cell r="K227">
            <v>108</v>
          </cell>
          <cell r="L227" t="str">
            <v>6H</v>
          </cell>
        </row>
        <row r="228">
          <cell r="D228" t="str">
            <v>431520K280</v>
          </cell>
          <cell r="E228" t="str">
            <v>HF - 512D</v>
          </cell>
          <cell r="F228" t="str">
            <v>Disco Freno Toyota New Hilux 2.4 2.7 2.8 4X4 21-24</v>
          </cell>
          <cell r="G228" t="str">
            <v>V/D</v>
          </cell>
          <cell r="H228">
            <v>319</v>
          </cell>
          <cell r="I228">
            <v>28</v>
          </cell>
          <cell r="J228">
            <v>67.5</v>
          </cell>
          <cell r="K228">
            <v>108</v>
          </cell>
          <cell r="L228" t="str">
            <v>6H</v>
          </cell>
        </row>
        <row r="229">
          <cell r="E229" t="str">
            <v>HF - 9438</v>
          </cell>
          <cell r="F229" t="str">
            <v>Disco Freno Toyota Raize 1.2 4X2 22-24</v>
          </cell>
          <cell r="G229" t="str">
            <v>V/D</v>
          </cell>
          <cell r="H229">
            <v>275</v>
          </cell>
          <cell r="I229">
            <v>22</v>
          </cell>
          <cell r="J229">
            <v>41.5</v>
          </cell>
          <cell r="K229">
            <v>55</v>
          </cell>
          <cell r="L229" t="str">
            <v>4H</v>
          </cell>
        </row>
        <row r="230">
          <cell r="C230" t="str">
            <v>BD5210</v>
          </cell>
          <cell r="D230">
            <v>4351204020</v>
          </cell>
          <cell r="E230" t="str">
            <v>HF - 485</v>
          </cell>
          <cell r="F230" t="str">
            <v>Disco Freno Toyota Prado Land Crusier 3.4/ 4-Runner 95-01 R16</v>
          </cell>
          <cell r="G230" t="str">
            <v>V/D</v>
          </cell>
          <cell r="H230">
            <v>319</v>
          </cell>
          <cell r="I230">
            <v>22</v>
          </cell>
          <cell r="J230">
            <v>70.5</v>
          </cell>
          <cell r="K230">
            <v>108</v>
          </cell>
          <cell r="L230" t="str">
            <v>6H</v>
          </cell>
        </row>
        <row r="231">
          <cell r="C231" t="str">
            <v>BD2919</v>
          </cell>
          <cell r="D231">
            <v>4243120201</v>
          </cell>
          <cell r="E231" t="str">
            <v>HF - 518A</v>
          </cell>
          <cell r="F231" t="str">
            <v>Disco Freno Toyota Land Crusier Prado 4.0 4.5 84-03, Hilux 2.4 97-01</v>
          </cell>
          <cell r="G231" t="str">
            <v>V/P</v>
          </cell>
          <cell r="H231">
            <v>312</v>
          </cell>
          <cell r="I231">
            <v>18</v>
          </cell>
          <cell r="J231">
            <v>68.3</v>
          </cell>
          <cell r="K231">
            <v>106.1</v>
          </cell>
          <cell r="L231" t="str">
            <v>6H</v>
          </cell>
        </row>
        <row r="232">
          <cell r="C232" t="str">
            <v>BD2918</v>
          </cell>
          <cell r="D232">
            <v>4351260151</v>
          </cell>
          <cell r="E232" t="str">
            <v>HF - 518</v>
          </cell>
          <cell r="F232" t="str">
            <v>Disco Freno Toyota Hilux Fortuner 4.0 4X4 SRX 16&gt;</v>
          </cell>
          <cell r="G232" t="str">
            <v>V/D</v>
          </cell>
          <cell r="H232">
            <v>338</v>
          </cell>
          <cell r="I232">
            <v>28</v>
          </cell>
          <cell r="J232">
            <v>67.5</v>
          </cell>
          <cell r="K232">
            <v>108</v>
          </cell>
          <cell r="L232" t="str">
            <v>6H</v>
          </cell>
        </row>
        <row r="233">
          <cell r="C233" t="str">
            <v>BD3392</v>
          </cell>
          <cell r="F233" t="str">
            <v xml:space="preserve">Disco Freno Volks Golf - Passat 1.3 93&lt; </v>
          </cell>
          <cell r="G233" t="str">
            <v>S/D</v>
          </cell>
          <cell r="H233">
            <v>256</v>
          </cell>
          <cell r="I233">
            <v>13</v>
          </cell>
          <cell r="J233">
            <v>39</v>
          </cell>
          <cell r="K233">
            <v>65</v>
          </cell>
          <cell r="L233" t="str">
            <v>4H</v>
          </cell>
        </row>
        <row r="234">
          <cell r="C234" t="str">
            <v>BD3300</v>
          </cell>
          <cell r="D234" t="str">
            <v>321615301/175615301</v>
          </cell>
          <cell r="E234" t="str">
            <v>HF - 01</v>
          </cell>
          <cell r="F234" t="str">
            <v>Disco Freno Volkswagen Gol 1.6 96-99, Vento 1.8</v>
          </cell>
          <cell r="G234" t="str">
            <v>S/D</v>
          </cell>
          <cell r="H234">
            <v>239</v>
          </cell>
          <cell r="I234">
            <v>12</v>
          </cell>
          <cell r="J234">
            <v>35.5</v>
          </cell>
          <cell r="K234">
            <v>65</v>
          </cell>
          <cell r="L234" t="str">
            <v>4H</v>
          </cell>
        </row>
        <row r="235">
          <cell r="C235" t="str">
            <v>BD3975</v>
          </cell>
          <cell r="D235" t="str">
            <v>5W0615301/321615301A</v>
          </cell>
          <cell r="E235" t="str">
            <v>HF - 02A</v>
          </cell>
          <cell r="F235" t="str">
            <v>Disco Freno Volkswagen Gol 1.8 00&gt;, Saveiro 97&gt;</v>
          </cell>
          <cell r="G235" t="str">
            <v>V/D</v>
          </cell>
          <cell r="H235">
            <v>239</v>
          </cell>
          <cell r="I235">
            <v>20</v>
          </cell>
          <cell r="J235">
            <v>39</v>
          </cell>
          <cell r="K235">
            <v>65</v>
          </cell>
          <cell r="L235" t="str">
            <v>4H</v>
          </cell>
        </row>
        <row r="236">
          <cell r="C236" t="str">
            <v>BD5297</v>
          </cell>
          <cell r="D236" t="str">
            <v>5U0615301C</v>
          </cell>
          <cell r="E236" t="str">
            <v>HF - 87A</v>
          </cell>
          <cell r="F236" t="str">
            <v>Disco Freno Volkswagen Gol Nueva Generacion G51.6, Saveiro G5 1.6</v>
          </cell>
          <cell r="G236" t="str">
            <v>V/D</v>
          </cell>
          <cell r="H236">
            <v>256</v>
          </cell>
          <cell r="I236">
            <v>18</v>
          </cell>
          <cell r="J236">
            <v>34</v>
          </cell>
          <cell r="K236">
            <v>65</v>
          </cell>
          <cell r="L236" t="str">
            <v>4H</v>
          </cell>
        </row>
        <row r="237">
          <cell r="C237" t="str">
            <v>BD9613</v>
          </cell>
          <cell r="D237" t="str">
            <v>5U7615601</v>
          </cell>
          <cell r="E237" t="str">
            <v>HF - 87C</v>
          </cell>
          <cell r="F237" t="str">
            <v>Disco Freno Volkswagen Saveiro 1.8 14&gt;</v>
          </cell>
          <cell r="G237" t="str">
            <v>S/P</v>
          </cell>
          <cell r="H237">
            <v>230</v>
          </cell>
          <cell r="I237">
            <v>9</v>
          </cell>
          <cell r="J237">
            <v>41</v>
          </cell>
          <cell r="K237">
            <v>65</v>
          </cell>
          <cell r="L237" t="str">
            <v>4H</v>
          </cell>
        </row>
        <row r="238">
          <cell r="C238" t="str">
            <v>BD9614</v>
          </cell>
          <cell r="D238" t="str">
            <v>1S0615301</v>
          </cell>
          <cell r="E238" t="str">
            <v>HF - 87B</v>
          </cell>
          <cell r="F238" t="str">
            <v>Disco Freno Volkswagen Saveiro 1.8 14&gt;</v>
          </cell>
          <cell r="G238" t="str">
            <v>V/D</v>
          </cell>
          <cell r="H238">
            <v>256</v>
          </cell>
          <cell r="I238">
            <v>22</v>
          </cell>
          <cell r="J238">
            <v>36.5</v>
          </cell>
          <cell r="K238">
            <v>65</v>
          </cell>
          <cell r="L238" t="str">
            <v>4H</v>
          </cell>
        </row>
        <row r="239">
          <cell r="C239" t="str">
            <v>BD5602</v>
          </cell>
          <cell r="D239" t="str">
            <v>1J0615301D</v>
          </cell>
          <cell r="E239" t="str">
            <v>HF - 81</v>
          </cell>
          <cell r="F239" t="str">
            <v>Disco Freno Volkswagen Golf 1.6 99-14, 1.6 03-15, Fox 1.6 04-08</v>
          </cell>
          <cell r="G239" t="str">
            <v>V/D</v>
          </cell>
          <cell r="H239">
            <v>256</v>
          </cell>
          <cell r="I239">
            <v>22</v>
          </cell>
          <cell r="J239">
            <v>36.5</v>
          </cell>
          <cell r="K239">
            <v>65</v>
          </cell>
          <cell r="L239" t="str">
            <v>5H</v>
          </cell>
        </row>
        <row r="240">
          <cell r="C240" t="str">
            <v>BD9619</v>
          </cell>
          <cell r="D240" t="str">
            <v>5Z0615301D</v>
          </cell>
          <cell r="E240" t="str">
            <v>HF - 81A</v>
          </cell>
          <cell r="F240" t="str">
            <v>Disco Freno Volkswagen Fox, Spacefox, Crossfox 1.6 10-11</v>
          </cell>
          <cell r="G240" t="str">
            <v>V/D</v>
          </cell>
          <cell r="H240">
            <v>280</v>
          </cell>
          <cell r="I240">
            <v>22</v>
          </cell>
          <cell r="J240">
            <v>37</v>
          </cell>
          <cell r="K240">
            <v>65</v>
          </cell>
          <cell r="L240" t="str">
            <v>5H</v>
          </cell>
        </row>
        <row r="241">
          <cell r="C241" t="str">
            <v>BD5650</v>
          </cell>
          <cell r="D241" t="str">
            <v>2QB615301D</v>
          </cell>
          <cell r="E241" t="str">
            <v>HF - 81B</v>
          </cell>
          <cell r="F241" t="str">
            <v>Disco Freno Volkswagen Polo 1.6 18-23, Virtus 1.8 18-23</v>
          </cell>
          <cell r="G241" t="str">
            <v>V/D</v>
          </cell>
          <cell r="H241">
            <v>256</v>
          </cell>
          <cell r="I241">
            <v>22</v>
          </cell>
          <cell r="J241">
            <v>44</v>
          </cell>
          <cell r="K241">
            <v>65</v>
          </cell>
          <cell r="L241" t="str">
            <v>5H</v>
          </cell>
        </row>
        <row r="242">
          <cell r="C242" t="str">
            <v>BD5648</v>
          </cell>
          <cell r="D242" t="str">
            <v>2QB615301E</v>
          </cell>
          <cell r="E242" t="str">
            <v>HF - 81C</v>
          </cell>
          <cell r="F242" t="str">
            <v>Disco Freno Volkswagen Virtus, T-Cross, Polo 1.0 18&gt;</v>
          </cell>
          <cell r="G242" t="str">
            <v>V/D</v>
          </cell>
          <cell r="H242">
            <v>276</v>
          </cell>
          <cell r="I242">
            <v>24</v>
          </cell>
          <cell r="J242">
            <v>44.5</v>
          </cell>
          <cell r="K242">
            <v>65</v>
          </cell>
          <cell r="L242" t="str">
            <v>5H</v>
          </cell>
        </row>
        <row r="243">
          <cell r="C243" t="str">
            <v>BD5601</v>
          </cell>
          <cell r="D243" t="str">
            <v>1J0615601</v>
          </cell>
          <cell r="E243" t="str">
            <v>HF - 83</v>
          </cell>
          <cell r="F243" t="str">
            <v xml:space="preserve">Disco Freno Volkswagen Polo 1.6 02-12, Golf 1.6 1.8 96-06, Audi A1 A2 A3 1.1 1.4 1.6 </v>
          </cell>
          <cell r="G243" t="str">
            <v>S/P</v>
          </cell>
          <cell r="H243">
            <v>232</v>
          </cell>
          <cell r="I243">
            <v>9</v>
          </cell>
          <cell r="J243">
            <v>39.299999999999997</v>
          </cell>
          <cell r="K243">
            <v>65</v>
          </cell>
          <cell r="L243" t="str">
            <v>5H</v>
          </cell>
        </row>
        <row r="244">
          <cell r="C244" t="str">
            <v>BD5602</v>
          </cell>
          <cell r="D244" t="str">
            <v>6N0615301A</v>
          </cell>
          <cell r="E244" t="str">
            <v>HF - 88C</v>
          </cell>
          <cell r="F244" t="str">
            <v>Disco Freno Volkswagen Polo 1.6 03-15</v>
          </cell>
          <cell r="G244" t="str">
            <v>V/D</v>
          </cell>
          <cell r="H244">
            <v>256</v>
          </cell>
          <cell r="I244">
            <v>25</v>
          </cell>
          <cell r="J244">
            <v>39.5</v>
          </cell>
          <cell r="K244">
            <v>65</v>
          </cell>
          <cell r="L244" t="str">
            <v>4H</v>
          </cell>
        </row>
        <row r="245">
          <cell r="C245" t="str">
            <v>BD5614</v>
          </cell>
          <cell r="D245" t="str">
            <v>1K0615301AC</v>
          </cell>
          <cell r="E245" t="str">
            <v>HF - 88F</v>
          </cell>
          <cell r="F245" t="str">
            <v>Disco Freno Volkswagen Jetta VI 2.5 11-18</v>
          </cell>
          <cell r="G245" t="str">
            <v>V/D</v>
          </cell>
          <cell r="H245">
            <v>280</v>
          </cell>
          <cell r="I245">
            <v>22</v>
          </cell>
          <cell r="J245">
            <v>50</v>
          </cell>
          <cell r="K245">
            <v>65</v>
          </cell>
          <cell r="L245" t="str">
            <v>5H</v>
          </cell>
        </row>
        <row r="246">
          <cell r="C246" t="str">
            <v>BD5302</v>
          </cell>
          <cell r="D246" t="str">
            <v>3A06115301A</v>
          </cell>
          <cell r="E246" t="str">
            <v>HF - 03A</v>
          </cell>
          <cell r="F246" t="str">
            <v>Disco Freno Volkswagen Polo 1.6 09-15</v>
          </cell>
          <cell r="G246" t="str">
            <v>V/D</v>
          </cell>
          <cell r="H246">
            <v>288</v>
          </cell>
          <cell r="I246">
            <v>25</v>
          </cell>
          <cell r="J246">
            <v>28.2</v>
          </cell>
          <cell r="K246">
            <v>65</v>
          </cell>
          <cell r="L246" t="str">
            <v>5H</v>
          </cell>
        </row>
        <row r="247">
          <cell r="C247" t="str">
            <v>BD5603</v>
          </cell>
          <cell r="D247" t="str">
            <v>LJ0615301E</v>
          </cell>
          <cell r="E247" t="str">
            <v>HF - 82</v>
          </cell>
          <cell r="F247" t="str">
            <v>Disco Freno Volkswagen Golf 2.0 99-14, Polo Classic 02&gt;, Fox 1.6 05&lt;</v>
          </cell>
          <cell r="G247" t="str">
            <v>V/D</v>
          </cell>
          <cell r="H247">
            <v>280</v>
          </cell>
          <cell r="I247">
            <v>22</v>
          </cell>
          <cell r="J247">
            <v>36.5</v>
          </cell>
          <cell r="K247">
            <v>65</v>
          </cell>
          <cell r="L247" t="str">
            <v>5H</v>
          </cell>
        </row>
        <row r="248">
          <cell r="C248" t="str">
            <v>BD6382</v>
          </cell>
          <cell r="D248" t="str">
            <v>2H0615301A</v>
          </cell>
          <cell r="E248" t="str">
            <v>HF - 90</v>
          </cell>
          <cell r="F248" t="str">
            <v>Disco Freno Volkswagen Amarok 2.0 10-20</v>
          </cell>
          <cell r="G248" t="str">
            <v>V/D</v>
          </cell>
          <cell r="H248">
            <v>303</v>
          </cell>
          <cell r="I248">
            <v>28</v>
          </cell>
          <cell r="J248">
            <v>57</v>
          </cell>
          <cell r="K248">
            <v>76</v>
          </cell>
          <cell r="L248" t="str">
            <v>5H</v>
          </cell>
        </row>
        <row r="249">
          <cell r="C249" t="str">
            <v>BD0190</v>
          </cell>
          <cell r="D249">
            <v>9064210012</v>
          </cell>
          <cell r="E249" t="str">
            <v>HF - 471F</v>
          </cell>
          <cell r="F249" t="str">
            <v>Disco Freno Mercedes Benz Sprinter 310 311 313 413 415/ Crafter T30 T50 06&gt;/ Foton CS2, King Long</v>
          </cell>
          <cell r="G249" t="str">
            <v>V/D</v>
          </cell>
          <cell r="H249">
            <v>300</v>
          </cell>
          <cell r="I249">
            <v>28</v>
          </cell>
          <cell r="J249">
            <v>68.5</v>
          </cell>
          <cell r="K249">
            <v>85</v>
          </cell>
          <cell r="L249" t="str">
            <v>6H</v>
          </cell>
        </row>
        <row r="250">
          <cell r="C250" t="str">
            <v>BD0186</v>
          </cell>
          <cell r="D250">
            <v>9024210712</v>
          </cell>
          <cell r="E250" t="str">
            <v>HF - 471B</v>
          </cell>
          <cell r="F250" t="str">
            <v>Disco Freno Mercedes Benz Sprinter 316 3.5T 01-06</v>
          </cell>
          <cell r="G250" t="str">
            <v>V/D</v>
          </cell>
          <cell r="H250">
            <v>276</v>
          </cell>
          <cell r="I250">
            <v>22</v>
          </cell>
          <cell r="J250">
            <v>77</v>
          </cell>
          <cell r="K250">
            <v>85</v>
          </cell>
          <cell r="L250" t="str">
            <v>5H</v>
          </cell>
        </row>
        <row r="251">
          <cell r="C251" t="str">
            <v>BD0189</v>
          </cell>
          <cell r="D251">
            <v>9024230112</v>
          </cell>
          <cell r="E251" t="str">
            <v>HF - 471C</v>
          </cell>
          <cell r="F251" t="str">
            <v>Disco Freno Mercedes Benz Sprinter 316 3.5T 01-06</v>
          </cell>
          <cell r="G251" t="str">
            <v>S/P</v>
          </cell>
          <cell r="H251">
            <v>272</v>
          </cell>
          <cell r="I251">
            <v>16</v>
          </cell>
          <cell r="J251">
            <v>96.4</v>
          </cell>
          <cell r="K251">
            <v>85</v>
          </cell>
          <cell r="L251" t="str">
            <v>5H</v>
          </cell>
        </row>
        <row r="252">
          <cell r="C252" t="str">
            <v>BD0191</v>
          </cell>
          <cell r="D252" t="str">
            <v>2E0615601A</v>
          </cell>
          <cell r="E252" t="str">
            <v>HF - 471H</v>
          </cell>
          <cell r="F252" t="str">
            <v xml:space="preserve">Disco Freno Mercedes Benz Sprinter 310 311 313 413 415/ Crafter T30 </v>
          </cell>
          <cell r="G252" t="str">
            <v>S/P</v>
          </cell>
          <cell r="H252">
            <v>298</v>
          </cell>
          <cell r="I252">
            <v>16</v>
          </cell>
          <cell r="J252">
            <v>71.5</v>
          </cell>
          <cell r="K252">
            <v>85</v>
          </cell>
          <cell r="L252" t="str">
            <v>6H</v>
          </cell>
        </row>
        <row r="253">
          <cell r="C253" t="str">
            <v>BD0192</v>
          </cell>
          <cell r="D253" t="str">
            <v>2E0615601</v>
          </cell>
          <cell r="E253" t="str">
            <v>HF - 471J</v>
          </cell>
          <cell r="F253" t="str">
            <v>Disco Freno Mercedes Benz Sprinter 413 415 515 06&gt;</v>
          </cell>
          <cell r="G253" t="str">
            <v>V/P</v>
          </cell>
          <cell r="H253">
            <v>303</v>
          </cell>
          <cell r="I253">
            <v>28</v>
          </cell>
          <cell r="J253">
            <v>93</v>
          </cell>
          <cell r="K253">
            <v>120</v>
          </cell>
          <cell r="L253" t="str">
            <v>6H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C3D1-8105-499F-AB9C-C42C57FBC6D3}">
  <dimension ref="A1:H898"/>
  <sheetViews>
    <sheetView tabSelected="1" workbookViewId="0">
      <selection activeCell="J10" sqref="J10"/>
    </sheetView>
  </sheetViews>
  <sheetFormatPr baseColWidth="10" defaultRowHeight="14.4"/>
  <cols>
    <col min="1" max="1" width="12.109375" bestFit="1" customWidth="1"/>
    <col min="2" max="2" width="88.33203125" bestFit="1" customWidth="1"/>
    <col min="4" max="8" width="11.6640625" bestFit="1" customWidth="1"/>
  </cols>
  <sheetData>
    <row r="1" spans="1:8" ht="1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4" t="s">
        <v>9</v>
      </c>
      <c r="C2" s="4" t="s">
        <v>10</v>
      </c>
      <c r="D2" s="4">
        <v>304</v>
      </c>
      <c r="E2" s="4">
        <v>28</v>
      </c>
      <c r="F2" s="4">
        <v>48</v>
      </c>
      <c r="G2" s="4">
        <v>71</v>
      </c>
      <c r="H2" s="4" t="s">
        <v>11</v>
      </c>
    </row>
    <row r="3" spans="1:8">
      <c r="A3" s="3" t="s">
        <v>12</v>
      </c>
      <c r="B3" s="4" t="s">
        <v>9</v>
      </c>
      <c r="C3" s="4" t="s">
        <v>10</v>
      </c>
      <c r="D3" s="4">
        <f>VLOOKUP(A3,[1]Discos!$C$8:$H$253,6,FALSE)</f>
        <v>304</v>
      </c>
      <c r="E3" s="4">
        <v>28</v>
      </c>
      <c r="F3" s="4">
        <v>48</v>
      </c>
      <c r="G3" s="4">
        <v>71</v>
      </c>
      <c r="H3" s="4" t="str">
        <f>VLOOKUP(A3,[1]Discos!$C$8:$L$253,10,FALSE)</f>
        <v>5H</v>
      </c>
    </row>
    <row r="4" spans="1:8">
      <c r="A4" s="3">
        <v>424924</v>
      </c>
      <c r="B4" s="4" t="s">
        <v>9</v>
      </c>
      <c r="C4" s="4" t="s">
        <v>10</v>
      </c>
      <c r="D4" s="4">
        <v>304</v>
      </c>
      <c r="E4" s="4">
        <v>28</v>
      </c>
      <c r="F4" s="4">
        <v>48</v>
      </c>
      <c r="G4" s="4">
        <v>71</v>
      </c>
      <c r="H4" s="4" t="s">
        <v>11</v>
      </c>
    </row>
    <row r="5" spans="1:8">
      <c r="A5" s="3" t="s">
        <v>13</v>
      </c>
      <c r="B5" s="4" t="s">
        <v>9</v>
      </c>
      <c r="C5" s="4" t="s">
        <v>10</v>
      </c>
      <c r="D5" s="4">
        <v>304</v>
      </c>
      <c r="E5" s="4">
        <v>28</v>
      </c>
      <c r="F5" s="4">
        <v>48</v>
      </c>
      <c r="G5" s="4">
        <v>71</v>
      </c>
      <c r="H5" s="4" t="s">
        <v>11</v>
      </c>
    </row>
    <row r="6" spans="1:8">
      <c r="A6" s="3" t="s">
        <v>14</v>
      </c>
      <c r="B6" s="4" t="s">
        <v>15</v>
      </c>
      <c r="C6" s="4" t="s">
        <v>10</v>
      </c>
      <c r="D6" s="4">
        <v>266</v>
      </c>
      <c r="E6" s="4">
        <v>22</v>
      </c>
      <c r="F6" s="4">
        <v>34</v>
      </c>
      <c r="G6" s="4">
        <v>66</v>
      </c>
      <c r="H6" s="4" t="s">
        <v>16</v>
      </c>
    </row>
    <row r="7" spans="1:8">
      <c r="A7" s="3" t="s">
        <v>17</v>
      </c>
      <c r="B7" s="4" t="s">
        <v>15</v>
      </c>
      <c r="C7" s="4" t="s">
        <v>10</v>
      </c>
      <c r="D7" s="4">
        <f>VLOOKUP(A7,[1]Discos!$C$8:$H$253,6,FALSE)</f>
        <v>266</v>
      </c>
      <c r="E7" s="4">
        <v>22</v>
      </c>
      <c r="F7" s="4">
        <v>34</v>
      </c>
      <c r="G7" s="4">
        <v>66</v>
      </c>
      <c r="H7" s="4" t="str">
        <f>VLOOKUP(A7,[1]Discos!$C$8:$L$253,10,FALSE)</f>
        <v>4H</v>
      </c>
    </row>
    <row r="8" spans="1:8">
      <c r="A8" s="3" t="s">
        <v>18</v>
      </c>
      <c r="B8" s="4" t="s">
        <v>15</v>
      </c>
      <c r="C8" s="4" t="s">
        <v>10</v>
      </c>
      <c r="D8" s="4">
        <v>266</v>
      </c>
      <c r="E8" s="4">
        <v>22</v>
      </c>
      <c r="F8" s="4">
        <v>34</v>
      </c>
      <c r="G8" s="4">
        <v>66</v>
      </c>
      <c r="H8" s="4" t="s">
        <v>16</v>
      </c>
    </row>
    <row r="9" spans="1:8">
      <c r="A9" s="3" t="s">
        <v>19</v>
      </c>
      <c r="B9" s="4" t="s">
        <v>15</v>
      </c>
      <c r="C9" s="4" t="s">
        <v>10</v>
      </c>
      <c r="D9" s="4">
        <v>266</v>
      </c>
      <c r="E9" s="4">
        <v>22</v>
      </c>
      <c r="F9" s="4">
        <v>34</v>
      </c>
      <c r="G9" s="4">
        <v>66</v>
      </c>
      <c r="H9" s="4" t="s">
        <v>16</v>
      </c>
    </row>
    <row r="10" spans="1:8">
      <c r="A10" s="3" t="s">
        <v>20</v>
      </c>
      <c r="B10" s="4" t="s">
        <v>21</v>
      </c>
      <c r="C10" s="4" t="s">
        <v>22</v>
      </c>
      <c r="D10" s="4">
        <v>247</v>
      </c>
      <c r="E10" s="4">
        <v>9</v>
      </c>
      <c r="F10" s="4">
        <v>35.299999999999997</v>
      </c>
      <c r="G10" s="4">
        <v>71</v>
      </c>
      <c r="H10" s="4" t="s">
        <v>16</v>
      </c>
    </row>
    <row r="11" spans="1:8">
      <c r="A11" s="3" t="s">
        <v>23</v>
      </c>
      <c r="B11" s="4" t="s">
        <v>21</v>
      </c>
      <c r="C11" s="4" t="s">
        <v>22</v>
      </c>
      <c r="D11" s="4">
        <f>VLOOKUP(A11,[1]Discos!$C$8:$H$253,6,FALSE)</f>
        <v>247</v>
      </c>
      <c r="E11" s="4">
        <v>9</v>
      </c>
      <c r="F11" s="4">
        <v>35.299999999999997</v>
      </c>
      <c r="G11" s="4">
        <v>71</v>
      </c>
      <c r="H11" s="4" t="str">
        <f>VLOOKUP(A11,[1]Discos!$C$8:$L$253,10,FALSE)</f>
        <v>4H</v>
      </c>
    </row>
    <row r="12" spans="1:8">
      <c r="A12" s="3" t="s">
        <v>24</v>
      </c>
      <c r="B12" s="4" t="s">
        <v>21</v>
      </c>
      <c r="C12" s="4" t="s">
        <v>22</v>
      </c>
      <c r="D12" s="4">
        <v>247</v>
      </c>
      <c r="E12" s="4">
        <v>9</v>
      </c>
      <c r="F12" s="4">
        <v>35.299999999999997</v>
      </c>
      <c r="G12" s="4">
        <v>71</v>
      </c>
      <c r="H12" s="4" t="s">
        <v>16</v>
      </c>
    </row>
    <row r="13" spans="1:8">
      <c r="A13" s="3" t="s">
        <v>25</v>
      </c>
      <c r="B13" s="4" t="s">
        <v>21</v>
      </c>
      <c r="C13" s="4" t="s">
        <v>22</v>
      </c>
      <c r="D13" s="4">
        <v>247</v>
      </c>
      <c r="E13" s="4">
        <v>9</v>
      </c>
      <c r="F13" s="4">
        <v>35.299999999999997</v>
      </c>
      <c r="G13" s="4">
        <v>71</v>
      </c>
      <c r="H13" s="4" t="s">
        <v>16</v>
      </c>
    </row>
    <row r="14" spans="1:8">
      <c r="A14" s="3" t="s">
        <v>26</v>
      </c>
      <c r="B14" s="4" t="s">
        <v>27</v>
      </c>
      <c r="C14" s="4" t="s">
        <v>10</v>
      </c>
      <c r="D14" s="4">
        <v>285</v>
      </c>
      <c r="E14" s="4">
        <v>18</v>
      </c>
      <c r="F14" s="4">
        <v>40</v>
      </c>
      <c r="G14" s="4">
        <v>65</v>
      </c>
      <c r="H14" s="4" t="s">
        <v>11</v>
      </c>
    </row>
    <row r="15" spans="1:8">
      <c r="A15" s="5" t="s">
        <v>28</v>
      </c>
      <c r="B15" s="4" t="s">
        <v>27</v>
      </c>
      <c r="C15" s="4" t="s">
        <v>10</v>
      </c>
      <c r="D15" s="4">
        <v>285</v>
      </c>
      <c r="E15" s="4">
        <v>18</v>
      </c>
      <c r="F15" s="4">
        <v>40</v>
      </c>
      <c r="G15" s="4">
        <v>65</v>
      </c>
      <c r="H15" s="4" t="s">
        <v>11</v>
      </c>
    </row>
    <row r="16" spans="1:8">
      <c r="A16" s="5" t="s">
        <v>29</v>
      </c>
      <c r="B16" s="4" t="s">
        <v>30</v>
      </c>
      <c r="C16" s="4" t="s">
        <v>22</v>
      </c>
      <c r="D16" s="4">
        <v>287.5</v>
      </c>
      <c r="E16" s="4">
        <v>10</v>
      </c>
      <c r="F16" s="4">
        <v>55</v>
      </c>
      <c r="G16" s="4">
        <v>65</v>
      </c>
      <c r="H16" s="4" t="s">
        <v>11</v>
      </c>
    </row>
    <row r="17" spans="1:8">
      <c r="A17" s="5" t="s">
        <v>31</v>
      </c>
      <c r="B17" s="4" t="s">
        <v>30</v>
      </c>
      <c r="C17" s="4" t="s">
        <v>22</v>
      </c>
      <c r="D17" s="4">
        <v>287.5</v>
      </c>
      <c r="E17" s="4">
        <v>10</v>
      </c>
      <c r="F17" s="4">
        <v>55</v>
      </c>
      <c r="G17" s="4">
        <v>65</v>
      </c>
      <c r="H17" s="4" t="s">
        <v>11</v>
      </c>
    </row>
    <row r="18" spans="1:8">
      <c r="A18" s="3" t="s">
        <v>32</v>
      </c>
      <c r="B18" s="4" t="s">
        <v>33</v>
      </c>
      <c r="C18" s="4" t="s">
        <v>10</v>
      </c>
      <c r="D18" s="4">
        <v>255</v>
      </c>
      <c r="E18" s="4">
        <v>18</v>
      </c>
      <c r="F18" s="4">
        <v>48</v>
      </c>
      <c r="G18" s="4">
        <v>60</v>
      </c>
      <c r="H18" s="4" t="s">
        <v>16</v>
      </c>
    </row>
    <row r="19" spans="1:8">
      <c r="A19" s="3" t="s">
        <v>34</v>
      </c>
      <c r="B19" s="4" t="s">
        <v>33</v>
      </c>
      <c r="C19" s="4" t="s">
        <v>10</v>
      </c>
      <c r="D19" s="4">
        <f>VLOOKUP(A19,[1]Discos!$C$8:$H$253,6,FALSE)</f>
        <v>255</v>
      </c>
      <c r="E19" s="4">
        <v>18</v>
      </c>
      <c r="F19" s="4">
        <v>48</v>
      </c>
      <c r="G19" s="4">
        <v>60</v>
      </c>
      <c r="H19" s="4" t="str">
        <f>VLOOKUP(A19,[1]Discos!$C$8:$L$253,10,FALSE)</f>
        <v>4H</v>
      </c>
    </row>
    <row r="20" spans="1:8">
      <c r="A20" s="5" t="s">
        <v>35</v>
      </c>
      <c r="B20" s="4" t="s">
        <v>33</v>
      </c>
      <c r="C20" s="4" t="s">
        <v>10</v>
      </c>
      <c r="D20" s="4">
        <v>255</v>
      </c>
      <c r="E20" s="4">
        <v>18</v>
      </c>
      <c r="F20" s="4">
        <v>48</v>
      </c>
      <c r="G20" s="4">
        <v>60</v>
      </c>
      <c r="H20" s="4" t="s">
        <v>16</v>
      </c>
    </row>
    <row r="21" spans="1:8">
      <c r="A21" s="3" t="s">
        <v>36</v>
      </c>
      <c r="B21" s="4" t="s">
        <v>37</v>
      </c>
      <c r="C21" s="4" t="s">
        <v>22</v>
      </c>
      <c r="D21" s="4">
        <v>303</v>
      </c>
      <c r="E21" s="4">
        <v>9</v>
      </c>
      <c r="F21" s="4">
        <v>62.5</v>
      </c>
      <c r="G21" s="4">
        <v>62</v>
      </c>
      <c r="H21" s="4" t="s">
        <v>11</v>
      </c>
    </row>
    <row r="22" spans="1:8">
      <c r="A22" s="3" t="s">
        <v>38</v>
      </c>
      <c r="B22" s="4" t="s">
        <v>37</v>
      </c>
      <c r="C22" s="4" t="s">
        <v>22</v>
      </c>
      <c r="D22" s="4">
        <f>VLOOKUP(A22,[1]Discos!$C$8:$H$253,6,FALSE)</f>
        <v>303</v>
      </c>
      <c r="E22" s="4">
        <v>9</v>
      </c>
      <c r="F22" s="4">
        <v>62.5</v>
      </c>
      <c r="G22" s="4">
        <v>62</v>
      </c>
      <c r="H22" s="4" t="str">
        <f>VLOOKUP(A22,[1]Discos!$C$8:$L$253,10,FALSE)</f>
        <v>5H</v>
      </c>
    </row>
    <row r="23" spans="1:8">
      <c r="A23" s="5" t="s">
        <v>39</v>
      </c>
      <c r="B23" s="4" t="s">
        <v>37</v>
      </c>
      <c r="C23" s="4" t="s">
        <v>22</v>
      </c>
      <c r="D23" s="4">
        <v>303</v>
      </c>
      <c r="E23" s="4">
        <v>9</v>
      </c>
      <c r="F23" s="4">
        <v>62.5</v>
      </c>
      <c r="G23" s="4">
        <v>62</v>
      </c>
      <c r="H23" s="4" t="s">
        <v>11</v>
      </c>
    </row>
    <row r="24" spans="1:8">
      <c r="A24" s="5" t="s">
        <v>40</v>
      </c>
      <c r="B24" s="4" t="s">
        <v>37</v>
      </c>
      <c r="C24" s="4" t="s">
        <v>22</v>
      </c>
      <c r="D24" s="4">
        <v>303</v>
      </c>
      <c r="E24" s="4">
        <v>9</v>
      </c>
      <c r="F24" s="4">
        <v>62.5</v>
      </c>
      <c r="G24" s="4">
        <v>62</v>
      </c>
      <c r="H24" s="4" t="s">
        <v>11</v>
      </c>
    </row>
    <row r="25" spans="1:8">
      <c r="A25" s="3" t="s">
        <v>41</v>
      </c>
      <c r="B25" s="4" t="s">
        <v>42</v>
      </c>
      <c r="C25" s="4" t="s">
        <v>10</v>
      </c>
      <c r="D25" s="4">
        <v>283</v>
      </c>
      <c r="E25" s="4">
        <v>25</v>
      </c>
      <c r="F25" s="4">
        <v>45</v>
      </c>
      <c r="G25" s="4">
        <v>65.5</v>
      </c>
      <c r="H25" s="4" t="s">
        <v>11</v>
      </c>
    </row>
    <row r="26" spans="1:8">
      <c r="A26" s="3" t="s">
        <v>43</v>
      </c>
      <c r="B26" s="4" t="s">
        <v>42</v>
      </c>
      <c r="C26" s="4" t="s">
        <v>10</v>
      </c>
      <c r="D26" s="4">
        <f>VLOOKUP(A26,[1]Discos!$C$8:$H$253,6,FALSE)</f>
        <v>283</v>
      </c>
      <c r="E26" s="4">
        <v>25</v>
      </c>
      <c r="F26" s="4">
        <v>45</v>
      </c>
      <c r="G26" s="4">
        <v>65.5</v>
      </c>
      <c r="H26" s="4" t="str">
        <f>VLOOKUP(A26,[1]Discos!$C$8:$L$253,10,FALSE)</f>
        <v>5H</v>
      </c>
    </row>
    <row r="27" spans="1:8">
      <c r="A27" s="5" t="s">
        <v>44</v>
      </c>
      <c r="B27" s="4" t="s">
        <v>42</v>
      </c>
      <c r="C27" s="4" t="s">
        <v>10</v>
      </c>
      <c r="D27" s="4">
        <v>283</v>
      </c>
      <c r="E27" s="4">
        <v>25</v>
      </c>
      <c r="F27" s="4">
        <v>45</v>
      </c>
      <c r="G27" s="4">
        <v>65.5</v>
      </c>
      <c r="H27" s="4" t="s">
        <v>11</v>
      </c>
    </row>
    <row r="28" spans="1:8">
      <c r="A28" s="5" t="s">
        <v>45</v>
      </c>
      <c r="B28" s="4" t="s">
        <v>42</v>
      </c>
      <c r="C28" s="4" t="s">
        <v>10</v>
      </c>
      <c r="D28" s="4">
        <v>283</v>
      </c>
      <c r="E28" s="4">
        <v>25</v>
      </c>
      <c r="F28" s="4">
        <v>45</v>
      </c>
      <c r="G28" s="4">
        <v>65.5</v>
      </c>
      <c r="H28" s="4" t="s">
        <v>11</v>
      </c>
    </row>
    <row r="29" spans="1:8">
      <c r="A29" s="5" t="s">
        <v>46</v>
      </c>
      <c r="B29" s="4" t="s">
        <v>47</v>
      </c>
      <c r="C29" s="4" t="s">
        <v>10</v>
      </c>
      <c r="D29" s="4">
        <v>308</v>
      </c>
      <c r="E29" s="4">
        <v>22</v>
      </c>
      <c r="F29" s="4">
        <v>45</v>
      </c>
      <c r="G29" s="4">
        <v>60</v>
      </c>
      <c r="H29" s="4" t="s">
        <v>11</v>
      </c>
    </row>
    <row r="30" spans="1:8">
      <c r="A30" s="3" t="s">
        <v>48</v>
      </c>
      <c r="B30" s="4" t="s">
        <v>49</v>
      </c>
      <c r="C30" s="4" t="s">
        <v>10</v>
      </c>
      <c r="D30" s="4">
        <v>256</v>
      </c>
      <c r="E30" s="4">
        <v>22</v>
      </c>
      <c r="F30" s="4">
        <v>46</v>
      </c>
      <c r="G30" s="4">
        <v>60</v>
      </c>
      <c r="H30" s="4" t="s">
        <v>16</v>
      </c>
    </row>
    <row r="31" spans="1:8">
      <c r="A31" s="6" t="s">
        <v>50</v>
      </c>
      <c r="B31" s="4" t="s">
        <v>49</v>
      </c>
      <c r="C31" s="4" t="s">
        <v>10</v>
      </c>
      <c r="D31" s="4">
        <f>VLOOKUP(A31,[1]Discos!$C$8:$H$253,6,FALSE)</f>
        <v>256</v>
      </c>
      <c r="E31" s="4">
        <v>22</v>
      </c>
      <c r="F31" s="4">
        <v>46</v>
      </c>
      <c r="G31" s="4">
        <v>60</v>
      </c>
      <c r="H31" s="4" t="str">
        <f>VLOOKUP(A31,[1]Discos!$C$8:$L$253,10,FALSE)</f>
        <v>4H</v>
      </c>
    </row>
    <row r="32" spans="1:8">
      <c r="A32" s="7">
        <v>52125657</v>
      </c>
      <c r="B32" s="4" t="s">
        <v>49</v>
      </c>
      <c r="C32" s="4" t="s">
        <v>10</v>
      </c>
      <c r="D32" s="4">
        <v>256</v>
      </c>
      <c r="E32" s="4">
        <v>22</v>
      </c>
      <c r="F32" s="4">
        <v>46</v>
      </c>
      <c r="G32" s="4">
        <v>60</v>
      </c>
      <c r="H32" s="4" t="s">
        <v>16</v>
      </c>
    </row>
    <row r="33" spans="1:8">
      <c r="A33" s="7" t="s">
        <v>51</v>
      </c>
      <c r="B33" s="4" t="s">
        <v>49</v>
      </c>
      <c r="C33" s="4" t="s">
        <v>10</v>
      </c>
      <c r="D33" s="4">
        <v>256</v>
      </c>
      <c r="E33" s="4">
        <v>22</v>
      </c>
      <c r="F33" s="4">
        <v>46</v>
      </c>
      <c r="G33" s="4">
        <v>60</v>
      </c>
      <c r="H33" s="4" t="s">
        <v>16</v>
      </c>
    </row>
    <row r="34" spans="1:8">
      <c r="A34" s="3" t="s">
        <v>52</v>
      </c>
      <c r="B34" s="4" t="s">
        <v>53</v>
      </c>
      <c r="C34" s="4" t="s">
        <v>22</v>
      </c>
      <c r="D34" s="4">
        <v>264</v>
      </c>
      <c r="E34" s="4">
        <v>10</v>
      </c>
      <c r="F34" s="4">
        <v>42</v>
      </c>
      <c r="G34" s="4">
        <v>65.5</v>
      </c>
      <c r="H34" s="4" t="s">
        <v>11</v>
      </c>
    </row>
    <row r="35" spans="1:8">
      <c r="A35" s="7" t="s">
        <v>54</v>
      </c>
      <c r="B35" s="4" t="s">
        <v>53</v>
      </c>
      <c r="C35" s="4" t="s">
        <v>22</v>
      </c>
      <c r="D35" s="4">
        <f>VLOOKUP(A35,[1]Discos!$C$8:$H$253,6,FALSE)</f>
        <v>264</v>
      </c>
      <c r="E35" s="4">
        <v>10</v>
      </c>
      <c r="F35" s="4">
        <v>42</v>
      </c>
      <c r="G35" s="4">
        <v>65.5</v>
      </c>
      <c r="H35" s="4" t="str">
        <f>VLOOKUP(A35,[1]Discos!$C$8:$L$253,10,FALSE)</f>
        <v>5H</v>
      </c>
    </row>
    <row r="36" spans="1:8">
      <c r="A36" s="6" t="s">
        <v>55</v>
      </c>
      <c r="B36" s="4" t="s">
        <v>53</v>
      </c>
      <c r="C36" s="4" t="s">
        <v>22</v>
      </c>
      <c r="D36" s="4">
        <v>264</v>
      </c>
      <c r="E36" s="4">
        <v>10</v>
      </c>
      <c r="F36" s="4">
        <v>42</v>
      </c>
      <c r="G36" s="4">
        <v>65.5</v>
      </c>
      <c r="H36" s="4" t="s">
        <v>11</v>
      </c>
    </row>
    <row r="37" spans="1:8">
      <c r="A37" s="6" t="s">
        <v>56</v>
      </c>
      <c r="B37" s="4" t="s">
        <v>53</v>
      </c>
      <c r="C37" s="4" t="s">
        <v>22</v>
      </c>
      <c r="D37" s="4">
        <v>264</v>
      </c>
      <c r="E37" s="4">
        <v>10</v>
      </c>
      <c r="F37" s="4">
        <v>42</v>
      </c>
      <c r="G37" s="4">
        <v>65.5</v>
      </c>
      <c r="H37" s="4" t="s">
        <v>11</v>
      </c>
    </row>
    <row r="38" spans="1:8">
      <c r="A38" s="3" t="s">
        <v>57</v>
      </c>
      <c r="B38" s="4" t="s">
        <v>58</v>
      </c>
      <c r="C38" s="4" t="s">
        <v>10</v>
      </c>
      <c r="D38" s="4">
        <v>280</v>
      </c>
      <c r="E38" s="4">
        <v>25</v>
      </c>
      <c r="F38" s="4">
        <v>42</v>
      </c>
      <c r="G38" s="4">
        <v>70</v>
      </c>
      <c r="H38" s="4" t="s">
        <v>11</v>
      </c>
    </row>
    <row r="39" spans="1:8">
      <c r="A39" s="3" t="s">
        <v>59</v>
      </c>
      <c r="B39" s="4" t="s">
        <v>58</v>
      </c>
      <c r="C39" s="4" t="s">
        <v>22</v>
      </c>
      <c r="D39" s="4">
        <v>286</v>
      </c>
      <c r="E39" s="4">
        <v>10</v>
      </c>
      <c r="F39" s="4">
        <v>69.2</v>
      </c>
      <c r="G39" s="4">
        <v>65.5</v>
      </c>
      <c r="H39" s="4" t="s">
        <v>11</v>
      </c>
    </row>
    <row r="40" spans="1:8">
      <c r="A40" s="7" t="s">
        <v>60</v>
      </c>
      <c r="B40" s="4" t="s">
        <v>58</v>
      </c>
      <c r="C40" s="4" t="s">
        <v>10</v>
      </c>
      <c r="D40" s="4">
        <f>VLOOKUP(A40,[1]Discos!$C$8:$H$253,6,FALSE)</f>
        <v>280</v>
      </c>
      <c r="E40" s="4">
        <v>25</v>
      </c>
      <c r="F40" s="4">
        <v>42</v>
      </c>
      <c r="G40" s="4">
        <v>70</v>
      </c>
      <c r="H40" s="4" t="str">
        <f>VLOOKUP(A40,[1]Discos!$C$8:$L$253,10,FALSE)</f>
        <v>5H</v>
      </c>
    </row>
    <row r="41" spans="1:8">
      <c r="A41" s="7" t="s">
        <v>61</v>
      </c>
      <c r="B41" s="4" t="s">
        <v>58</v>
      </c>
      <c r="C41" s="4" t="s">
        <v>22</v>
      </c>
      <c r="D41" s="4">
        <f>VLOOKUP(A41,[1]Discos!$C$8:$H$253,6,FALSE)</f>
        <v>286</v>
      </c>
      <c r="E41" s="4">
        <v>10</v>
      </c>
      <c r="F41" s="4">
        <v>69.2</v>
      </c>
      <c r="G41" s="4">
        <v>65.5</v>
      </c>
      <c r="H41" s="4" t="str">
        <f>VLOOKUP(A41,[1]Discos!$C$8:$L$253,10,FALSE)</f>
        <v>5H</v>
      </c>
    </row>
    <row r="42" spans="1:8">
      <c r="A42" s="6" t="s">
        <v>62</v>
      </c>
      <c r="B42" s="4" t="s">
        <v>58</v>
      </c>
      <c r="C42" s="4" t="s">
        <v>10</v>
      </c>
      <c r="D42" s="4">
        <v>280</v>
      </c>
      <c r="E42" s="4">
        <v>25</v>
      </c>
      <c r="F42" s="4">
        <v>42</v>
      </c>
      <c r="G42" s="4">
        <v>70</v>
      </c>
      <c r="H42" s="4" t="s">
        <v>11</v>
      </c>
    </row>
    <row r="43" spans="1:8">
      <c r="A43" s="6" t="s">
        <v>63</v>
      </c>
      <c r="B43" s="4" t="s">
        <v>58</v>
      </c>
      <c r="C43" s="4" t="s">
        <v>22</v>
      </c>
      <c r="D43" s="4">
        <v>286</v>
      </c>
      <c r="E43" s="4">
        <v>10</v>
      </c>
      <c r="F43" s="4">
        <v>69.2</v>
      </c>
      <c r="G43" s="4">
        <v>65.5</v>
      </c>
      <c r="H43" s="4" t="s">
        <v>11</v>
      </c>
    </row>
    <row r="44" spans="1:8">
      <c r="A44" s="6" t="s">
        <v>64</v>
      </c>
      <c r="B44" s="4" t="s">
        <v>58</v>
      </c>
      <c r="C44" s="4" t="s">
        <v>10</v>
      </c>
      <c r="D44" s="4">
        <v>280</v>
      </c>
      <c r="E44" s="4">
        <v>25</v>
      </c>
      <c r="F44" s="4">
        <v>42</v>
      </c>
      <c r="G44" s="4">
        <v>70</v>
      </c>
      <c r="H44" s="4" t="s">
        <v>11</v>
      </c>
    </row>
    <row r="45" spans="1:8">
      <c r="A45" s="6" t="s">
        <v>65</v>
      </c>
      <c r="B45" s="4" t="s">
        <v>58</v>
      </c>
      <c r="C45" s="4" t="s">
        <v>22</v>
      </c>
      <c r="D45" s="4">
        <v>286</v>
      </c>
      <c r="E45" s="4">
        <v>10</v>
      </c>
      <c r="F45" s="4">
        <v>69.2</v>
      </c>
      <c r="G45" s="4">
        <v>65.5</v>
      </c>
      <c r="H45" s="4" t="s">
        <v>11</v>
      </c>
    </row>
    <row r="46" spans="1:8">
      <c r="A46" s="3" t="s">
        <v>66</v>
      </c>
      <c r="B46" s="4" t="s">
        <v>67</v>
      </c>
      <c r="C46" s="4" t="s">
        <v>10</v>
      </c>
      <c r="D46" s="4">
        <v>256</v>
      </c>
      <c r="E46" s="4">
        <v>24</v>
      </c>
      <c r="F46" s="4">
        <v>41</v>
      </c>
      <c r="G46" s="4">
        <v>59</v>
      </c>
      <c r="H46" s="4" t="s">
        <v>16</v>
      </c>
    </row>
    <row r="47" spans="1:8">
      <c r="A47" s="8" t="s">
        <v>68</v>
      </c>
      <c r="B47" s="4" t="s">
        <v>67</v>
      </c>
      <c r="C47" s="4" t="s">
        <v>10</v>
      </c>
      <c r="D47" s="4">
        <f>VLOOKUP(A47,[1]Discos!$C$8:$H$253,6,FALSE)</f>
        <v>256</v>
      </c>
      <c r="E47" s="4">
        <v>24</v>
      </c>
      <c r="F47" s="4">
        <v>41</v>
      </c>
      <c r="G47" s="4">
        <v>59</v>
      </c>
      <c r="H47" s="4" t="str">
        <f>VLOOKUP(A47,[1]Discos!$C$8:$L$253,10,FALSE)</f>
        <v>4H</v>
      </c>
    </row>
    <row r="48" spans="1:8">
      <c r="A48" s="8" t="s">
        <v>69</v>
      </c>
      <c r="B48" s="4" t="s">
        <v>67</v>
      </c>
      <c r="C48" s="4" t="s">
        <v>10</v>
      </c>
      <c r="D48" s="4">
        <v>256</v>
      </c>
      <c r="E48" s="4">
        <v>24</v>
      </c>
      <c r="F48" s="4">
        <v>41</v>
      </c>
      <c r="G48" s="4">
        <v>59</v>
      </c>
      <c r="H48" s="4" t="s">
        <v>16</v>
      </c>
    </row>
    <row r="49" spans="1:8">
      <c r="A49" s="8" t="s">
        <v>70</v>
      </c>
      <c r="B49" s="4" t="s">
        <v>67</v>
      </c>
      <c r="C49" s="4" t="s">
        <v>10</v>
      </c>
      <c r="D49" s="4">
        <v>256</v>
      </c>
      <c r="E49" s="4">
        <v>24</v>
      </c>
      <c r="F49" s="4">
        <v>41</v>
      </c>
      <c r="G49" s="4">
        <v>59</v>
      </c>
      <c r="H49" s="4" t="s">
        <v>16</v>
      </c>
    </row>
    <row r="50" spans="1:8">
      <c r="A50" s="3" t="s">
        <v>71</v>
      </c>
      <c r="B50" s="4" t="s">
        <v>72</v>
      </c>
      <c r="C50" s="4" t="s">
        <v>10</v>
      </c>
      <c r="D50" s="4">
        <v>274</v>
      </c>
      <c r="E50" s="4">
        <v>29</v>
      </c>
      <c r="F50" s="4">
        <v>54.5</v>
      </c>
      <c r="G50" s="4">
        <v>71</v>
      </c>
      <c r="H50" s="4" t="s">
        <v>11</v>
      </c>
    </row>
    <row r="51" spans="1:8">
      <c r="A51" s="8" t="s">
        <v>73</v>
      </c>
      <c r="B51" s="4" t="s">
        <v>72</v>
      </c>
      <c r="C51" s="4" t="s">
        <v>10</v>
      </c>
      <c r="D51" s="4">
        <f>VLOOKUP(A51,[1]Discos!$C$8:$H$253,6,FALSE)</f>
        <v>274</v>
      </c>
      <c r="E51" s="4">
        <v>29</v>
      </c>
      <c r="F51" s="4">
        <v>54.5</v>
      </c>
      <c r="G51" s="4">
        <v>71</v>
      </c>
      <c r="H51" s="4" t="str">
        <f>VLOOKUP(A51,[1]Discos!$C$8:$L$253,10,FALSE)</f>
        <v>5H</v>
      </c>
    </row>
    <row r="52" spans="1:8">
      <c r="A52" s="8">
        <v>18060219</v>
      </c>
      <c r="B52" s="4" t="s">
        <v>72</v>
      </c>
      <c r="C52" s="4" t="s">
        <v>10</v>
      </c>
      <c r="D52" s="4">
        <v>274</v>
      </c>
      <c r="E52" s="4">
        <v>29</v>
      </c>
      <c r="F52" s="4">
        <v>54.5</v>
      </c>
      <c r="G52" s="4">
        <v>71</v>
      </c>
      <c r="H52" s="4" t="s">
        <v>11</v>
      </c>
    </row>
    <row r="53" spans="1:8">
      <c r="A53" s="8" t="s">
        <v>74</v>
      </c>
      <c r="B53" s="4" t="s">
        <v>72</v>
      </c>
      <c r="C53" s="4" t="s">
        <v>10</v>
      </c>
      <c r="D53" s="4">
        <v>274</v>
      </c>
      <c r="E53" s="4">
        <v>29</v>
      </c>
      <c r="F53" s="4">
        <v>54.5</v>
      </c>
      <c r="G53" s="4">
        <v>71</v>
      </c>
      <c r="H53" s="4" t="s">
        <v>11</v>
      </c>
    </row>
    <row r="54" spans="1:8">
      <c r="A54" s="3" t="s">
        <v>75</v>
      </c>
      <c r="B54" s="4" t="s">
        <v>76</v>
      </c>
      <c r="C54" s="4" t="s">
        <v>77</v>
      </c>
      <c r="D54" s="4">
        <v>303</v>
      </c>
      <c r="E54" s="4">
        <v>20</v>
      </c>
      <c r="F54" s="4">
        <v>71.5</v>
      </c>
      <c r="G54" s="4">
        <v>70.5</v>
      </c>
      <c r="H54" s="4" t="s">
        <v>11</v>
      </c>
    </row>
    <row r="55" spans="1:8">
      <c r="A55" s="3" t="s">
        <v>78</v>
      </c>
      <c r="B55" s="4" t="s">
        <v>76</v>
      </c>
      <c r="C55" s="4" t="s">
        <v>10</v>
      </c>
      <c r="D55" s="4">
        <v>296</v>
      </c>
      <c r="E55" s="4">
        <v>29</v>
      </c>
      <c r="F55" s="4">
        <v>52</v>
      </c>
      <c r="G55" s="4">
        <v>70.5</v>
      </c>
      <c r="H55" s="4" t="s">
        <v>11</v>
      </c>
    </row>
    <row r="56" spans="1:8">
      <c r="A56" s="8" t="s">
        <v>79</v>
      </c>
      <c r="B56" s="4" t="s">
        <v>76</v>
      </c>
      <c r="C56" s="4" t="s">
        <v>77</v>
      </c>
      <c r="D56" s="4">
        <f>VLOOKUP(A56,[1]Discos!$C$8:$H$253,6,FALSE)</f>
        <v>303</v>
      </c>
      <c r="E56" s="4">
        <v>20</v>
      </c>
      <c r="F56" s="4">
        <v>71.5</v>
      </c>
      <c r="G56" s="4">
        <v>70.5</v>
      </c>
      <c r="H56" s="4" t="str">
        <f>VLOOKUP(A56,[1]Discos!$C$8:$L$253,10,FALSE)</f>
        <v>5H</v>
      </c>
    </row>
    <row r="57" spans="1:8">
      <c r="A57" s="8" t="s">
        <v>80</v>
      </c>
      <c r="B57" s="4" t="s">
        <v>76</v>
      </c>
      <c r="C57" s="4" t="s">
        <v>10</v>
      </c>
      <c r="D57" s="4">
        <f>VLOOKUP(A57,[1]Discos!$C$8:$H$253,6,FALSE)</f>
        <v>296</v>
      </c>
      <c r="E57" s="4">
        <v>29</v>
      </c>
      <c r="F57" s="4">
        <v>52</v>
      </c>
      <c r="G57" s="4">
        <v>70.5</v>
      </c>
      <c r="H57" s="4" t="str">
        <f>VLOOKUP(A57,[1]Discos!$C$8:$L$253,10,FALSE)</f>
        <v>5H</v>
      </c>
    </row>
    <row r="58" spans="1:8">
      <c r="A58" s="8">
        <v>20892952</v>
      </c>
      <c r="B58" s="4" t="s">
        <v>76</v>
      </c>
      <c r="C58" s="4" t="s">
        <v>77</v>
      </c>
      <c r="D58" s="4">
        <v>303</v>
      </c>
      <c r="E58" s="4">
        <v>20</v>
      </c>
      <c r="F58" s="4">
        <v>71.5</v>
      </c>
      <c r="G58" s="4">
        <v>70.5</v>
      </c>
      <c r="H58" s="4" t="s">
        <v>11</v>
      </c>
    </row>
    <row r="59" spans="1:8">
      <c r="A59" s="8" t="s">
        <v>81</v>
      </c>
      <c r="B59" s="4" t="s">
        <v>76</v>
      </c>
      <c r="C59" s="4" t="s">
        <v>10</v>
      </c>
      <c r="D59" s="4">
        <v>296</v>
      </c>
      <c r="E59" s="4">
        <v>29</v>
      </c>
      <c r="F59" s="4">
        <v>52</v>
      </c>
      <c r="G59" s="4">
        <v>70.5</v>
      </c>
      <c r="H59" s="4" t="s">
        <v>11</v>
      </c>
    </row>
    <row r="60" spans="1:8">
      <c r="A60" s="8" t="s">
        <v>82</v>
      </c>
      <c r="B60" s="4" t="s">
        <v>76</v>
      </c>
      <c r="C60" s="4" t="s">
        <v>77</v>
      </c>
      <c r="D60" s="4">
        <v>303</v>
      </c>
      <c r="E60" s="4">
        <v>20</v>
      </c>
      <c r="F60" s="4">
        <v>71.5</v>
      </c>
      <c r="G60" s="4">
        <v>70.5</v>
      </c>
      <c r="H60" s="4" t="s">
        <v>11</v>
      </c>
    </row>
    <row r="61" spans="1:8">
      <c r="A61" s="8" t="s">
        <v>83</v>
      </c>
      <c r="B61" s="4" t="s">
        <v>76</v>
      </c>
      <c r="C61" s="4" t="s">
        <v>10</v>
      </c>
      <c r="D61" s="4">
        <v>296</v>
      </c>
      <c r="E61" s="4">
        <v>29</v>
      </c>
      <c r="F61" s="4">
        <v>52</v>
      </c>
      <c r="G61" s="4">
        <v>70.5</v>
      </c>
      <c r="H61" s="4" t="s">
        <v>11</v>
      </c>
    </row>
    <row r="62" spans="1:8">
      <c r="A62" s="3" t="s">
        <v>84</v>
      </c>
      <c r="B62" s="4" t="s">
        <v>85</v>
      </c>
      <c r="C62" s="4" t="s">
        <v>22</v>
      </c>
      <c r="D62" s="4">
        <v>270</v>
      </c>
      <c r="E62" s="4">
        <v>12</v>
      </c>
      <c r="F62" s="4">
        <v>30</v>
      </c>
      <c r="G62" s="4">
        <v>60</v>
      </c>
      <c r="H62" s="4" t="s">
        <v>11</v>
      </c>
    </row>
    <row r="63" spans="1:8">
      <c r="A63" s="8">
        <v>23960473</v>
      </c>
      <c r="B63" s="4" t="s">
        <v>85</v>
      </c>
      <c r="C63" s="4" t="s">
        <v>22</v>
      </c>
      <c r="D63" s="4">
        <v>270</v>
      </c>
      <c r="E63" s="4">
        <v>12</v>
      </c>
      <c r="F63" s="4">
        <v>30</v>
      </c>
      <c r="G63" s="4">
        <v>60</v>
      </c>
      <c r="H63" s="4" t="s">
        <v>11</v>
      </c>
    </row>
    <row r="64" spans="1:8">
      <c r="A64" s="3" t="s">
        <v>86</v>
      </c>
      <c r="B64" s="4" t="s">
        <v>87</v>
      </c>
      <c r="C64" s="4" t="s">
        <v>22</v>
      </c>
      <c r="D64" s="4">
        <v>280</v>
      </c>
      <c r="E64" s="4">
        <v>12</v>
      </c>
      <c r="F64" s="4">
        <v>30</v>
      </c>
      <c r="G64" s="4">
        <v>60</v>
      </c>
      <c r="H64" s="4" t="s">
        <v>11</v>
      </c>
    </row>
    <row r="65" spans="1:8">
      <c r="A65" s="3" t="s">
        <v>88</v>
      </c>
      <c r="B65" s="4" t="s">
        <v>87</v>
      </c>
      <c r="C65" s="4" t="s">
        <v>10</v>
      </c>
      <c r="D65" s="4">
        <v>312</v>
      </c>
      <c r="E65" s="4">
        <v>25</v>
      </c>
      <c r="F65" s="4">
        <v>45</v>
      </c>
      <c r="G65" s="4">
        <v>58</v>
      </c>
      <c r="H65" s="4" t="s">
        <v>11</v>
      </c>
    </row>
    <row r="66" spans="1:8">
      <c r="A66" s="8">
        <v>23995887</v>
      </c>
      <c r="B66" s="4" t="s">
        <v>87</v>
      </c>
      <c r="C66" s="4" t="s">
        <v>22</v>
      </c>
      <c r="D66" s="4">
        <v>280</v>
      </c>
      <c r="E66" s="4">
        <v>12</v>
      </c>
      <c r="F66" s="4">
        <v>30</v>
      </c>
      <c r="G66" s="4">
        <v>60</v>
      </c>
      <c r="H66" s="4" t="s">
        <v>11</v>
      </c>
    </row>
    <row r="67" spans="1:8">
      <c r="A67" s="8">
        <v>23971417</v>
      </c>
      <c r="B67" s="4" t="s">
        <v>87</v>
      </c>
      <c r="C67" s="4" t="s">
        <v>10</v>
      </c>
      <c r="D67" s="4">
        <v>312</v>
      </c>
      <c r="E67" s="4">
        <v>25</v>
      </c>
      <c r="F67" s="4">
        <v>45</v>
      </c>
      <c r="G67" s="4">
        <v>58</v>
      </c>
      <c r="H67" s="4" t="s">
        <v>11</v>
      </c>
    </row>
    <row r="68" spans="1:8">
      <c r="A68" s="3" t="s">
        <v>89</v>
      </c>
      <c r="B68" s="4" t="s">
        <v>90</v>
      </c>
      <c r="C68" s="4" t="s">
        <v>10</v>
      </c>
      <c r="D68" s="4">
        <v>236</v>
      </c>
      <c r="E68" s="4">
        <v>20</v>
      </c>
      <c r="F68" s="4">
        <v>41</v>
      </c>
      <c r="G68" s="4">
        <v>60</v>
      </c>
      <c r="H68" s="4" t="s">
        <v>91</v>
      </c>
    </row>
    <row r="69" spans="1:8">
      <c r="A69" s="7" t="s">
        <v>92</v>
      </c>
      <c r="B69" s="4" t="s">
        <v>90</v>
      </c>
      <c r="C69" s="4" t="s">
        <v>10</v>
      </c>
      <c r="D69" s="4">
        <f>VLOOKUP(A69,[1]Discos!$C$8:$H$253,6,FALSE)</f>
        <v>236</v>
      </c>
      <c r="E69" s="4">
        <v>20</v>
      </c>
      <c r="F69" s="4">
        <v>41</v>
      </c>
      <c r="G69" s="4">
        <v>60</v>
      </c>
      <c r="H69" s="4" t="str">
        <f>VLOOKUP(A69,[1]Discos!$C$8:$L$253,10,FALSE)</f>
        <v>4/6H</v>
      </c>
    </row>
    <row r="70" spans="1:8">
      <c r="A70" s="6" t="s">
        <v>93</v>
      </c>
      <c r="B70" s="4" t="s">
        <v>90</v>
      </c>
      <c r="C70" s="4" t="s">
        <v>10</v>
      </c>
      <c r="D70" s="4">
        <v>236</v>
      </c>
      <c r="E70" s="4">
        <v>20</v>
      </c>
      <c r="F70" s="4">
        <v>41</v>
      </c>
      <c r="G70" s="4">
        <v>60</v>
      </c>
      <c r="H70" s="4" t="s">
        <v>91</v>
      </c>
    </row>
    <row r="71" spans="1:8">
      <c r="A71" s="6" t="s">
        <v>94</v>
      </c>
      <c r="B71" s="4" t="s">
        <v>90</v>
      </c>
      <c r="C71" s="4" t="s">
        <v>10</v>
      </c>
      <c r="D71" s="4">
        <v>236</v>
      </c>
      <c r="E71" s="4">
        <v>20</v>
      </c>
      <c r="F71" s="4">
        <v>41</v>
      </c>
      <c r="G71" s="4">
        <v>60</v>
      </c>
      <c r="H71" s="4" t="s">
        <v>91</v>
      </c>
    </row>
    <row r="72" spans="1:8">
      <c r="A72" s="3" t="s">
        <v>95</v>
      </c>
      <c r="B72" s="4" t="s">
        <v>96</v>
      </c>
      <c r="C72" s="4" t="s">
        <v>10</v>
      </c>
      <c r="D72" s="4">
        <v>240</v>
      </c>
      <c r="E72" s="4">
        <v>20</v>
      </c>
      <c r="F72" s="4">
        <v>41</v>
      </c>
      <c r="G72" s="4">
        <v>60</v>
      </c>
      <c r="H72" s="4" t="s">
        <v>16</v>
      </c>
    </row>
    <row r="73" spans="1:8">
      <c r="A73" s="8" t="s">
        <v>97</v>
      </c>
      <c r="B73" s="4" t="s">
        <v>96</v>
      </c>
      <c r="C73" s="4" t="s">
        <v>10</v>
      </c>
      <c r="D73" s="4">
        <f>VLOOKUP(A73,[1]Discos!$C$8:$H$253,6,FALSE)</f>
        <v>240</v>
      </c>
      <c r="E73" s="4">
        <v>20</v>
      </c>
      <c r="F73" s="4">
        <v>41</v>
      </c>
      <c r="G73" s="4">
        <v>60</v>
      </c>
      <c r="H73" s="4" t="str">
        <f>VLOOKUP(A73,[1]Discos!$C$8:$L$253,10,FALSE)</f>
        <v>4H</v>
      </c>
    </row>
    <row r="74" spans="1:8">
      <c r="A74" s="8">
        <v>91277966</v>
      </c>
      <c r="B74" s="4" t="s">
        <v>96</v>
      </c>
      <c r="C74" s="4" t="s">
        <v>10</v>
      </c>
      <c r="D74" s="4">
        <v>240</v>
      </c>
      <c r="E74" s="4">
        <v>20</v>
      </c>
      <c r="F74" s="4">
        <v>41</v>
      </c>
      <c r="G74" s="4">
        <v>60</v>
      </c>
      <c r="H74" s="4" t="s">
        <v>16</v>
      </c>
    </row>
    <row r="75" spans="1:8">
      <c r="A75" s="8" t="s">
        <v>98</v>
      </c>
      <c r="B75" s="4" t="s">
        <v>96</v>
      </c>
      <c r="C75" s="4" t="s">
        <v>10</v>
      </c>
      <c r="D75" s="4">
        <v>240</v>
      </c>
      <c r="E75" s="4">
        <v>20</v>
      </c>
      <c r="F75" s="4">
        <v>41</v>
      </c>
      <c r="G75" s="4">
        <v>60</v>
      </c>
      <c r="H75" s="4" t="s">
        <v>16</v>
      </c>
    </row>
    <row r="76" spans="1:8">
      <c r="A76" s="3" t="s">
        <v>99</v>
      </c>
      <c r="B76" s="4" t="s">
        <v>100</v>
      </c>
      <c r="C76" s="4" t="s">
        <v>10</v>
      </c>
      <c r="D76" s="4">
        <v>260</v>
      </c>
      <c r="E76" s="4">
        <v>24</v>
      </c>
      <c r="F76" s="4">
        <v>41</v>
      </c>
      <c r="G76" s="4">
        <v>60</v>
      </c>
      <c r="H76" s="4" t="s">
        <v>16</v>
      </c>
    </row>
    <row r="77" spans="1:8">
      <c r="A77" s="9" t="s">
        <v>101</v>
      </c>
      <c r="B77" s="4" t="s">
        <v>100</v>
      </c>
      <c r="C77" s="4" t="s">
        <v>10</v>
      </c>
      <c r="D77" s="4">
        <f>VLOOKUP(A77,[1]Discos!$C$8:$H$253,6,FALSE)</f>
        <v>260</v>
      </c>
      <c r="E77" s="4">
        <v>24</v>
      </c>
      <c r="F77" s="4">
        <v>41</v>
      </c>
      <c r="G77" s="4">
        <v>60</v>
      </c>
      <c r="H77" s="4" t="str">
        <f>VLOOKUP(A77,[1]Discos!$C$8:$L$253,10,FALSE)</f>
        <v>4H</v>
      </c>
    </row>
    <row r="78" spans="1:8">
      <c r="A78" s="9" t="s">
        <v>102</v>
      </c>
      <c r="B78" s="4" t="s">
        <v>100</v>
      </c>
      <c r="C78" s="4" t="s">
        <v>10</v>
      </c>
      <c r="D78" s="4">
        <v>260</v>
      </c>
      <c r="E78" s="4">
        <v>24</v>
      </c>
      <c r="F78" s="4">
        <v>41</v>
      </c>
      <c r="G78" s="4">
        <v>60</v>
      </c>
      <c r="H78" s="4" t="s">
        <v>16</v>
      </c>
    </row>
    <row r="79" spans="1:8">
      <c r="A79" s="9" t="s">
        <v>103</v>
      </c>
      <c r="B79" s="4" t="s">
        <v>100</v>
      </c>
      <c r="C79" s="4" t="s">
        <v>10</v>
      </c>
      <c r="D79" s="4">
        <v>260</v>
      </c>
      <c r="E79" s="4">
        <v>24</v>
      </c>
      <c r="F79" s="4">
        <v>41</v>
      </c>
      <c r="G79" s="4">
        <v>60</v>
      </c>
      <c r="H79" s="4" t="s">
        <v>16</v>
      </c>
    </row>
    <row r="80" spans="1:8">
      <c r="A80" s="3" t="s">
        <v>104</v>
      </c>
      <c r="B80" s="4" t="s">
        <v>105</v>
      </c>
      <c r="C80" s="4" t="s">
        <v>10</v>
      </c>
      <c r="D80" s="4">
        <v>276</v>
      </c>
      <c r="E80" s="4">
        <v>26</v>
      </c>
      <c r="F80" s="4">
        <v>45.5</v>
      </c>
      <c r="G80" s="4">
        <v>60</v>
      </c>
      <c r="H80" s="4" t="s">
        <v>11</v>
      </c>
    </row>
    <row r="81" spans="1:8">
      <c r="A81" s="3" t="s">
        <v>106</v>
      </c>
      <c r="B81" s="4" t="s">
        <v>105</v>
      </c>
      <c r="C81" s="4" t="s">
        <v>22</v>
      </c>
      <c r="D81" s="4">
        <v>264</v>
      </c>
      <c r="E81" s="4">
        <v>10</v>
      </c>
      <c r="F81" s="4">
        <v>44.5</v>
      </c>
      <c r="G81" s="4">
        <v>60</v>
      </c>
      <c r="H81" s="4" t="s">
        <v>11</v>
      </c>
    </row>
    <row r="82" spans="1:8">
      <c r="A82" s="9" t="s">
        <v>107</v>
      </c>
      <c r="B82" s="4" t="s">
        <v>105</v>
      </c>
      <c r="C82" s="4" t="s">
        <v>10</v>
      </c>
      <c r="D82" s="4">
        <f>VLOOKUP(A82,[1]Discos!$C$8:$H$253,6,FALSE)</f>
        <v>276</v>
      </c>
      <c r="E82" s="4">
        <v>26</v>
      </c>
      <c r="F82" s="4">
        <v>45.5</v>
      </c>
      <c r="G82" s="4">
        <v>60</v>
      </c>
      <c r="H82" s="4" t="str">
        <f>VLOOKUP(A82,[1]Discos!$C$8:$L$253,10,FALSE)</f>
        <v>5H</v>
      </c>
    </row>
    <row r="83" spans="1:8">
      <c r="A83" s="9" t="s">
        <v>108</v>
      </c>
      <c r="B83" s="4" t="s">
        <v>105</v>
      </c>
      <c r="C83" s="4" t="s">
        <v>22</v>
      </c>
      <c r="D83" s="4">
        <f>VLOOKUP(A83,[1]Discos!$C$8:$H$253,6,FALSE)</f>
        <v>264</v>
      </c>
      <c r="E83" s="4">
        <v>10</v>
      </c>
      <c r="F83" s="4">
        <v>44.5</v>
      </c>
      <c r="G83" s="4">
        <v>60</v>
      </c>
      <c r="H83" s="4" t="str">
        <f>VLOOKUP(A83,[1]Discos!$C$8:$L$253,10,FALSE)</f>
        <v>5H</v>
      </c>
    </row>
    <row r="84" spans="1:8" ht="24">
      <c r="A84" s="6" t="s">
        <v>109</v>
      </c>
      <c r="B84" s="4" t="s">
        <v>105</v>
      </c>
      <c r="C84" s="4" t="s">
        <v>10</v>
      </c>
      <c r="D84" s="4">
        <v>276</v>
      </c>
      <c r="E84" s="4">
        <v>26</v>
      </c>
      <c r="F84" s="4">
        <v>45.5</v>
      </c>
      <c r="G84" s="4">
        <v>60</v>
      </c>
      <c r="H84" s="4" t="s">
        <v>11</v>
      </c>
    </row>
    <row r="85" spans="1:8">
      <c r="A85" s="6" t="s">
        <v>110</v>
      </c>
      <c r="B85" s="4" t="s">
        <v>105</v>
      </c>
      <c r="C85" s="4" t="s">
        <v>22</v>
      </c>
      <c r="D85" s="4">
        <v>264</v>
      </c>
      <c r="E85" s="4">
        <v>10</v>
      </c>
      <c r="F85" s="4">
        <v>44.5</v>
      </c>
      <c r="G85" s="4">
        <v>60</v>
      </c>
      <c r="H85" s="4" t="s">
        <v>11</v>
      </c>
    </row>
    <row r="86" spans="1:8">
      <c r="A86" s="6" t="s">
        <v>111</v>
      </c>
      <c r="B86" s="4" t="s">
        <v>105</v>
      </c>
      <c r="C86" s="4" t="s">
        <v>10</v>
      </c>
      <c r="D86" s="4">
        <v>276</v>
      </c>
      <c r="E86" s="4">
        <v>26</v>
      </c>
      <c r="F86" s="4">
        <v>45.5</v>
      </c>
      <c r="G86" s="4">
        <v>60</v>
      </c>
      <c r="H86" s="4" t="s">
        <v>11</v>
      </c>
    </row>
    <row r="87" spans="1:8">
      <c r="A87" s="6" t="s">
        <v>112</v>
      </c>
      <c r="B87" s="4" t="s">
        <v>105</v>
      </c>
      <c r="C87" s="4" t="s">
        <v>22</v>
      </c>
      <c r="D87" s="4">
        <v>264</v>
      </c>
      <c r="E87" s="4">
        <v>10</v>
      </c>
      <c r="F87" s="4">
        <v>44.5</v>
      </c>
      <c r="G87" s="4">
        <v>60</v>
      </c>
      <c r="H87" s="4" t="s">
        <v>11</v>
      </c>
    </row>
    <row r="88" spans="1:8">
      <c r="A88" s="3" t="s">
        <v>113</v>
      </c>
      <c r="B88" s="4" t="s">
        <v>114</v>
      </c>
      <c r="C88" s="4" t="s">
        <v>22</v>
      </c>
      <c r="D88" s="4">
        <v>268</v>
      </c>
      <c r="E88" s="4">
        <v>12</v>
      </c>
      <c r="F88" s="4">
        <v>45</v>
      </c>
      <c r="G88" s="4">
        <v>60</v>
      </c>
      <c r="H88" s="4" t="s">
        <v>11</v>
      </c>
    </row>
    <row r="89" spans="1:8">
      <c r="A89" s="9" t="s">
        <v>115</v>
      </c>
      <c r="B89" s="4" t="s">
        <v>114</v>
      </c>
      <c r="C89" s="4" t="s">
        <v>22</v>
      </c>
      <c r="D89" s="4">
        <f>VLOOKUP(A89,[1]Discos!$C$8:$H$253,6,FALSE)</f>
        <v>268</v>
      </c>
      <c r="E89" s="4">
        <v>12</v>
      </c>
      <c r="F89" s="4">
        <v>45</v>
      </c>
      <c r="G89" s="4">
        <v>60</v>
      </c>
      <c r="H89" s="4" t="str">
        <f>VLOOKUP(A89,[1]Discos!$C$8:$L$253,10,FALSE)</f>
        <v>5H</v>
      </c>
    </row>
    <row r="90" spans="1:8">
      <c r="A90" s="6" t="s">
        <v>116</v>
      </c>
      <c r="B90" s="4" t="s">
        <v>114</v>
      </c>
      <c r="C90" s="4" t="s">
        <v>22</v>
      </c>
      <c r="D90" s="4">
        <v>268</v>
      </c>
      <c r="E90" s="4">
        <v>12</v>
      </c>
      <c r="F90" s="4">
        <v>45</v>
      </c>
      <c r="G90" s="4">
        <v>60</v>
      </c>
      <c r="H90" s="4" t="s">
        <v>11</v>
      </c>
    </row>
    <row r="91" spans="1:8">
      <c r="A91" s="6" t="s">
        <v>117</v>
      </c>
      <c r="B91" s="4" t="s">
        <v>114</v>
      </c>
      <c r="C91" s="4" t="s">
        <v>22</v>
      </c>
      <c r="D91" s="4">
        <v>268</v>
      </c>
      <c r="E91" s="4">
        <v>12</v>
      </c>
      <c r="F91" s="4">
        <v>45</v>
      </c>
      <c r="G91" s="4">
        <v>60</v>
      </c>
      <c r="H91" s="4" t="s">
        <v>11</v>
      </c>
    </row>
    <row r="92" spans="1:8">
      <c r="A92" s="3" t="s">
        <v>118</v>
      </c>
      <c r="B92" s="4" t="s">
        <v>119</v>
      </c>
      <c r="C92" s="4" t="s">
        <v>10</v>
      </c>
      <c r="D92" s="4">
        <v>256</v>
      </c>
      <c r="E92" s="4">
        <v>26</v>
      </c>
      <c r="F92" s="4">
        <v>40</v>
      </c>
      <c r="G92" s="4">
        <v>88</v>
      </c>
      <c r="H92" s="4" t="s">
        <v>120</v>
      </c>
    </row>
    <row r="93" spans="1:8">
      <c r="A93" s="8" t="s">
        <v>121</v>
      </c>
      <c r="B93" s="4" t="s">
        <v>119</v>
      </c>
      <c r="C93" s="4" t="s">
        <v>10</v>
      </c>
      <c r="D93" s="4">
        <f>VLOOKUP(A93,[1]Discos!$C$8:$H$253,6,FALSE)</f>
        <v>256</v>
      </c>
      <c r="E93" s="4">
        <v>26</v>
      </c>
      <c r="F93" s="4">
        <v>40</v>
      </c>
      <c r="G93" s="4">
        <v>88</v>
      </c>
      <c r="H93" s="4" t="str">
        <f>VLOOKUP(A93,[1]Discos!$C$8:$L$253,10,FALSE)</f>
        <v>6H</v>
      </c>
    </row>
    <row r="94" spans="1:8">
      <c r="A94" s="8">
        <v>8973606760</v>
      </c>
      <c r="B94" s="4" t="s">
        <v>119</v>
      </c>
      <c r="C94" s="4" t="s">
        <v>10</v>
      </c>
      <c r="D94" s="4">
        <v>256</v>
      </c>
      <c r="E94" s="4">
        <v>26</v>
      </c>
      <c r="F94" s="4">
        <v>40</v>
      </c>
      <c r="G94" s="4">
        <v>88</v>
      </c>
      <c r="H94" s="4" t="s">
        <v>120</v>
      </c>
    </row>
    <row r="95" spans="1:8">
      <c r="A95" s="8" t="s">
        <v>122</v>
      </c>
      <c r="B95" s="4" t="s">
        <v>119</v>
      </c>
      <c r="C95" s="4" t="s">
        <v>10</v>
      </c>
      <c r="D95" s="4">
        <v>256</v>
      </c>
      <c r="E95" s="4">
        <v>26</v>
      </c>
      <c r="F95" s="4">
        <v>40</v>
      </c>
      <c r="G95" s="4">
        <v>88</v>
      </c>
      <c r="H95" s="4" t="s">
        <v>120</v>
      </c>
    </row>
    <row r="96" spans="1:8">
      <c r="A96" s="3" t="s">
        <v>123</v>
      </c>
      <c r="B96" s="4" t="s">
        <v>124</v>
      </c>
      <c r="C96" s="4" t="s">
        <v>10</v>
      </c>
      <c r="D96" s="4">
        <v>301</v>
      </c>
      <c r="E96" s="4">
        <v>27</v>
      </c>
      <c r="F96" s="4">
        <v>40</v>
      </c>
      <c r="G96" s="4">
        <v>88</v>
      </c>
      <c r="H96" s="4" t="s">
        <v>120</v>
      </c>
    </row>
    <row r="97" spans="1:8">
      <c r="A97" s="8" t="s">
        <v>125</v>
      </c>
      <c r="B97" s="4" t="s">
        <v>124</v>
      </c>
      <c r="C97" s="4" t="s">
        <v>10</v>
      </c>
      <c r="D97" s="4">
        <f>VLOOKUP(A97,[1]Discos!$C$8:$H$253,6,FALSE)</f>
        <v>301</v>
      </c>
      <c r="E97" s="4">
        <v>27</v>
      </c>
      <c r="F97" s="4">
        <v>40</v>
      </c>
      <c r="G97" s="4">
        <v>88</v>
      </c>
      <c r="H97" s="4" t="str">
        <f>VLOOKUP(A97,[1]Discos!$C$8:$L$253,10,FALSE)</f>
        <v>6H</v>
      </c>
    </row>
    <row r="98" spans="1:8">
      <c r="A98" s="8">
        <v>94712571</v>
      </c>
      <c r="B98" s="4" t="s">
        <v>124</v>
      </c>
      <c r="C98" s="4" t="s">
        <v>10</v>
      </c>
      <c r="D98" s="4">
        <v>301</v>
      </c>
      <c r="E98" s="4">
        <v>27</v>
      </c>
      <c r="F98" s="4">
        <v>40</v>
      </c>
      <c r="G98" s="4">
        <v>88</v>
      </c>
      <c r="H98" s="4" t="s">
        <v>120</v>
      </c>
    </row>
    <row r="99" spans="1:8">
      <c r="A99" s="8" t="s">
        <v>126</v>
      </c>
      <c r="B99" s="4" t="s">
        <v>124</v>
      </c>
      <c r="C99" s="4" t="s">
        <v>10</v>
      </c>
      <c r="D99" s="4">
        <v>301</v>
      </c>
      <c r="E99" s="4">
        <v>27</v>
      </c>
      <c r="F99" s="4">
        <v>40</v>
      </c>
      <c r="G99" s="4">
        <v>88</v>
      </c>
      <c r="H99" s="4" t="s">
        <v>120</v>
      </c>
    </row>
    <row r="100" spans="1:8">
      <c r="A100" s="3" t="s">
        <v>127</v>
      </c>
      <c r="B100" s="4" t="s">
        <v>128</v>
      </c>
      <c r="C100" s="4" t="s">
        <v>10</v>
      </c>
      <c r="D100" s="4">
        <v>280</v>
      </c>
      <c r="E100" s="4">
        <v>27</v>
      </c>
      <c r="F100" s="4">
        <v>40</v>
      </c>
      <c r="G100" s="4">
        <v>88</v>
      </c>
      <c r="H100" s="4" t="s">
        <v>120</v>
      </c>
    </row>
    <row r="101" spans="1:8">
      <c r="A101" s="8" t="s">
        <v>129</v>
      </c>
      <c r="B101" s="4" t="s">
        <v>128</v>
      </c>
      <c r="C101" s="4" t="s">
        <v>10</v>
      </c>
      <c r="D101" s="4">
        <f>VLOOKUP(A101,[1]Discos!$C$8:$H$253,6,FALSE)</f>
        <v>280</v>
      </c>
      <c r="E101" s="4">
        <v>27</v>
      </c>
      <c r="F101" s="4">
        <v>40</v>
      </c>
      <c r="G101" s="4">
        <v>88</v>
      </c>
      <c r="H101" s="4" t="str">
        <f>VLOOKUP(A101,[1]Discos!$C$8:$L$253,10,FALSE)</f>
        <v>6H</v>
      </c>
    </row>
    <row r="102" spans="1:8">
      <c r="A102" s="8">
        <v>8973606780</v>
      </c>
      <c r="B102" s="4" t="s">
        <v>128</v>
      </c>
      <c r="C102" s="4" t="s">
        <v>10</v>
      </c>
      <c r="D102" s="4">
        <v>280</v>
      </c>
      <c r="E102" s="4">
        <v>27</v>
      </c>
      <c r="F102" s="4">
        <v>40</v>
      </c>
      <c r="G102" s="4">
        <v>88</v>
      </c>
      <c r="H102" s="4" t="s">
        <v>120</v>
      </c>
    </row>
    <row r="103" spans="1:8">
      <c r="A103" s="8" t="s">
        <v>130</v>
      </c>
      <c r="B103" s="4" t="s">
        <v>128</v>
      </c>
      <c r="C103" s="4" t="s">
        <v>10</v>
      </c>
      <c r="D103" s="4">
        <v>280</v>
      </c>
      <c r="E103" s="4">
        <v>27</v>
      </c>
      <c r="F103" s="4">
        <v>40</v>
      </c>
      <c r="G103" s="4">
        <v>88</v>
      </c>
      <c r="H103" s="4" t="s">
        <v>120</v>
      </c>
    </row>
    <row r="104" spans="1:8">
      <c r="A104" s="3" t="s">
        <v>131</v>
      </c>
      <c r="B104" s="4" t="s">
        <v>132</v>
      </c>
      <c r="C104" s="4" t="s">
        <v>10</v>
      </c>
      <c r="D104" s="4">
        <v>300</v>
      </c>
      <c r="E104" s="4">
        <v>26</v>
      </c>
      <c r="F104" s="4">
        <v>46</v>
      </c>
      <c r="G104" s="4">
        <v>70.5</v>
      </c>
      <c r="H104" s="4" t="s">
        <v>11</v>
      </c>
    </row>
    <row r="105" spans="1:8">
      <c r="A105" s="8" t="s">
        <v>133</v>
      </c>
      <c r="B105" s="4" t="s">
        <v>132</v>
      </c>
      <c r="C105" s="4" t="s">
        <v>10</v>
      </c>
      <c r="D105" s="4">
        <f>VLOOKUP(A105,[1]Discos!$C$8:$H$253,6,FALSE)</f>
        <v>300</v>
      </c>
      <c r="E105" s="4">
        <v>26</v>
      </c>
      <c r="F105" s="4">
        <v>46</v>
      </c>
      <c r="G105" s="4">
        <v>70.5</v>
      </c>
      <c r="H105" s="4" t="str">
        <f>VLOOKUP(A105,[1]Discos!$C$8:$L$253,10,FALSE)</f>
        <v>5H</v>
      </c>
    </row>
    <row r="106" spans="1:8">
      <c r="A106" s="8">
        <v>13503988</v>
      </c>
      <c r="B106" s="4" t="s">
        <v>132</v>
      </c>
      <c r="C106" s="4" t="s">
        <v>10</v>
      </c>
      <c r="D106" s="4">
        <v>300</v>
      </c>
      <c r="E106" s="4">
        <v>26</v>
      </c>
      <c r="F106" s="4">
        <v>46</v>
      </c>
      <c r="G106" s="4">
        <v>70.5</v>
      </c>
      <c r="H106" s="4" t="s">
        <v>11</v>
      </c>
    </row>
    <row r="107" spans="1:8">
      <c r="A107" s="8" t="s">
        <v>134</v>
      </c>
      <c r="B107" s="4" t="s">
        <v>132</v>
      </c>
      <c r="C107" s="4" t="s">
        <v>10</v>
      </c>
      <c r="D107" s="4">
        <v>300</v>
      </c>
      <c r="E107" s="4">
        <v>26</v>
      </c>
      <c r="F107" s="4">
        <v>46</v>
      </c>
      <c r="G107" s="4">
        <v>70.5</v>
      </c>
      <c r="H107" s="4" t="s">
        <v>11</v>
      </c>
    </row>
    <row r="108" spans="1:8">
      <c r="A108" s="3" t="s">
        <v>135</v>
      </c>
      <c r="B108" s="4" t="s">
        <v>136</v>
      </c>
      <c r="C108" s="4" t="s">
        <v>10</v>
      </c>
      <c r="D108" s="4">
        <v>287</v>
      </c>
      <c r="E108" s="4">
        <v>17</v>
      </c>
      <c r="F108" s="4">
        <v>29</v>
      </c>
      <c r="G108" s="4">
        <v>108</v>
      </c>
      <c r="H108" s="4" t="s">
        <v>11</v>
      </c>
    </row>
    <row r="109" spans="1:8">
      <c r="A109" s="6" t="s">
        <v>137</v>
      </c>
      <c r="B109" s="4" t="s">
        <v>136</v>
      </c>
      <c r="C109" s="4" t="s">
        <v>10</v>
      </c>
      <c r="D109" s="4">
        <f>VLOOKUP(A109,[1]Discos!$C$8:$H$253,6,FALSE)</f>
        <v>287</v>
      </c>
      <c r="E109" s="4">
        <v>17</v>
      </c>
      <c r="F109" s="4">
        <v>29</v>
      </c>
      <c r="G109" s="4">
        <v>108</v>
      </c>
      <c r="H109" s="4" t="str">
        <f>VLOOKUP(A109,[1]Discos!$C$8:$L$253,10,FALSE)</f>
        <v>5H</v>
      </c>
    </row>
    <row r="110" spans="1:8" ht="24">
      <c r="A110" s="6" t="s">
        <v>138</v>
      </c>
      <c r="B110" s="4" t="s">
        <v>136</v>
      </c>
      <c r="C110" s="4" t="s">
        <v>10</v>
      </c>
      <c r="D110" s="4">
        <v>287</v>
      </c>
      <c r="E110" s="4">
        <v>17</v>
      </c>
      <c r="F110" s="4">
        <v>29</v>
      </c>
      <c r="G110" s="4">
        <v>108</v>
      </c>
      <c r="H110" s="4" t="s">
        <v>11</v>
      </c>
    </row>
    <row r="111" spans="1:8">
      <c r="A111" s="6" t="s">
        <v>139</v>
      </c>
      <c r="B111" s="4" t="s">
        <v>136</v>
      </c>
      <c r="C111" s="4" t="s">
        <v>10</v>
      </c>
      <c r="D111" s="4">
        <v>287</v>
      </c>
      <c r="E111" s="4">
        <v>17</v>
      </c>
      <c r="F111" s="4">
        <v>29</v>
      </c>
      <c r="G111" s="4">
        <v>108</v>
      </c>
      <c r="H111" s="4" t="s">
        <v>11</v>
      </c>
    </row>
    <row r="112" spans="1:8">
      <c r="A112" s="3" t="s">
        <v>140</v>
      </c>
      <c r="B112" s="4" t="s">
        <v>141</v>
      </c>
      <c r="C112" s="4" t="s">
        <v>10</v>
      </c>
      <c r="D112" s="4">
        <v>310</v>
      </c>
      <c r="E112" s="4">
        <v>22</v>
      </c>
      <c r="F112" s="4">
        <v>29</v>
      </c>
      <c r="G112" s="4">
        <v>108</v>
      </c>
      <c r="H112" s="4" t="s">
        <v>11</v>
      </c>
    </row>
    <row r="113" spans="1:8">
      <c r="A113" s="7" t="s">
        <v>142</v>
      </c>
      <c r="B113" s="4" t="s">
        <v>141</v>
      </c>
      <c r="C113" s="4" t="s">
        <v>10</v>
      </c>
      <c r="D113" s="4">
        <f>VLOOKUP(A113,[1]Discos!$C$8:$H$253,6,FALSE)</f>
        <v>310</v>
      </c>
      <c r="E113" s="4">
        <v>22</v>
      </c>
      <c r="F113" s="4">
        <v>29</v>
      </c>
      <c r="G113" s="4">
        <v>108</v>
      </c>
      <c r="H113" s="4" t="str">
        <f>VLOOKUP(A113,[1]Discos!$C$8:$L$253,10,FALSE)</f>
        <v>5H</v>
      </c>
    </row>
    <row r="114" spans="1:8">
      <c r="A114" s="6" t="s">
        <v>143</v>
      </c>
      <c r="B114" s="4" t="s">
        <v>141</v>
      </c>
      <c r="C114" s="4" t="s">
        <v>10</v>
      </c>
      <c r="D114" s="4">
        <v>310</v>
      </c>
      <c r="E114" s="4">
        <v>22</v>
      </c>
      <c r="F114" s="4">
        <v>29</v>
      </c>
      <c r="G114" s="4">
        <v>108</v>
      </c>
      <c r="H114" s="4" t="s">
        <v>11</v>
      </c>
    </row>
    <row r="115" spans="1:8">
      <c r="A115" s="3" t="s">
        <v>144</v>
      </c>
      <c r="B115" s="4" t="s">
        <v>141</v>
      </c>
      <c r="C115" s="4" t="s">
        <v>10</v>
      </c>
      <c r="D115" s="4">
        <v>310</v>
      </c>
      <c r="E115" s="4">
        <v>22</v>
      </c>
      <c r="F115" s="4">
        <v>29</v>
      </c>
      <c r="G115" s="4">
        <v>108</v>
      </c>
      <c r="H115" s="4" t="s">
        <v>11</v>
      </c>
    </row>
    <row r="116" spans="1:8">
      <c r="A116" s="3" t="s">
        <v>145</v>
      </c>
      <c r="B116" s="4" t="s">
        <v>146</v>
      </c>
      <c r="C116" s="4" t="s">
        <v>10</v>
      </c>
      <c r="D116" s="4">
        <v>240</v>
      </c>
      <c r="E116" s="4">
        <v>20</v>
      </c>
      <c r="F116" s="4">
        <v>43</v>
      </c>
      <c r="G116" s="4">
        <v>60</v>
      </c>
      <c r="H116" s="4" t="s">
        <v>16</v>
      </c>
    </row>
    <row r="117" spans="1:8">
      <c r="A117" s="8" t="s">
        <v>147</v>
      </c>
      <c r="B117" s="4" t="s">
        <v>146</v>
      </c>
      <c r="C117" s="4" t="s">
        <v>10</v>
      </c>
      <c r="D117" s="4">
        <f>VLOOKUP(A117,[1]Discos!$C$8:$H$253,6,FALSE)</f>
        <v>240</v>
      </c>
      <c r="E117" s="4">
        <v>20</v>
      </c>
      <c r="F117" s="4">
        <v>43</v>
      </c>
      <c r="G117" s="4">
        <v>60</v>
      </c>
      <c r="H117" s="4" t="str">
        <f>VLOOKUP(A117,[1]Discos!$C$8:$L$253,10,FALSE)</f>
        <v>4H</v>
      </c>
    </row>
    <row r="118" spans="1:8">
      <c r="A118" s="8">
        <v>52099697</v>
      </c>
      <c r="B118" s="4" t="s">
        <v>146</v>
      </c>
      <c r="C118" s="4" t="s">
        <v>10</v>
      </c>
      <c r="D118" s="4">
        <v>240</v>
      </c>
      <c r="E118" s="4">
        <v>20</v>
      </c>
      <c r="F118" s="4">
        <v>43</v>
      </c>
      <c r="G118" s="4">
        <v>60</v>
      </c>
      <c r="H118" s="4" t="s">
        <v>16</v>
      </c>
    </row>
    <row r="119" spans="1:8">
      <c r="A119" s="8" t="s">
        <v>148</v>
      </c>
      <c r="B119" s="4" t="s">
        <v>146</v>
      </c>
      <c r="C119" s="4" t="s">
        <v>10</v>
      </c>
      <c r="D119" s="4">
        <v>240</v>
      </c>
      <c r="E119" s="4">
        <v>20</v>
      </c>
      <c r="F119" s="4">
        <v>43</v>
      </c>
      <c r="G119" s="4">
        <v>60</v>
      </c>
      <c r="H119" s="4" t="s">
        <v>16</v>
      </c>
    </row>
    <row r="120" spans="1:8">
      <c r="A120" s="3" t="s">
        <v>149</v>
      </c>
      <c r="B120" s="4" t="s">
        <v>150</v>
      </c>
      <c r="C120" s="4" t="s">
        <v>10</v>
      </c>
      <c r="D120" s="4">
        <v>257</v>
      </c>
      <c r="E120" s="4">
        <v>22</v>
      </c>
      <c r="F120" s="4">
        <v>36</v>
      </c>
      <c r="G120" s="4">
        <v>88</v>
      </c>
      <c r="H120" s="4" t="s">
        <v>120</v>
      </c>
    </row>
    <row r="121" spans="1:8">
      <c r="A121" s="7" t="s">
        <v>151</v>
      </c>
      <c r="B121" s="4" t="s">
        <v>150</v>
      </c>
      <c r="C121" s="4" t="s">
        <v>10</v>
      </c>
      <c r="D121" s="4">
        <f>VLOOKUP(A121,[1]Discos!$C$8:$H$253,6,FALSE)</f>
        <v>257</v>
      </c>
      <c r="E121" s="4">
        <v>22</v>
      </c>
      <c r="F121" s="4">
        <v>36</v>
      </c>
      <c r="G121" s="4">
        <v>88</v>
      </c>
      <c r="H121" s="4" t="str">
        <f>VLOOKUP(A121,[1]Discos!$C$8:$L$253,10,FALSE)</f>
        <v>6H</v>
      </c>
    </row>
    <row r="122" spans="1:8" ht="24">
      <c r="A122" s="6" t="s">
        <v>152</v>
      </c>
      <c r="B122" s="4" t="s">
        <v>150</v>
      </c>
      <c r="C122" s="4" t="s">
        <v>10</v>
      </c>
      <c r="D122" s="4">
        <v>257</v>
      </c>
      <c r="E122" s="4">
        <v>22</v>
      </c>
      <c r="F122" s="4">
        <v>36</v>
      </c>
      <c r="G122" s="4">
        <v>88</v>
      </c>
      <c r="H122" s="4" t="s">
        <v>120</v>
      </c>
    </row>
    <row r="123" spans="1:8">
      <c r="A123" s="6" t="s">
        <v>153</v>
      </c>
      <c r="B123" s="4" t="s">
        <v>150</v>
      </c>
      <c r="C123" s="4" t="s">
        <v>10</v>
      </c>
      <c r="D123" s="4">
        <v>257</v>
      </c>
      <c r="E123" s="4">
        <v>22</v>
      </c>
      <c r="F123" s="4">
        <v>36</v>
      </c>
      <c r="G123" s="4">
        <v>88</v>
      </c>
      <c r="H123" s="4" t="s">
        <v>120</v>
      </c>
    </row>
    <row r="124" spans="1:8">
      <c r="A124" s="3" t="s">
        <v>154</v>
      </c>
      <c r="B124" s="4" t="s">
        <v>155</v>
      </c>
      <c r="C124" s="4" t="s">
        <v>156</v>
      </c>
      <c r="D124" s="4">
        <v>231</v>
      </c>
      <c r="E124" s="4">
        <v>12</v>
      </c>
      <c r="F124" s="4">
        <v>44.5</v>
      </c>
      <c r="G124" s="4">
        <v>60</v>
      </c>
      <c r="H124" s="4" t="s">
        <v>16</v>
      </c>
    </row>
    <row r="125" spans="1:8">
      <c r="A125" s="6" t="s">
        <v>157</v>
      </c>
      <c r="B125" s="4" t="s">
        <v>155</v>
      </c>
      <c r="C125" s="4" t="s">
        <v>156</v>
      </c>
      <c r="D125" s="4">
        <f>VLOOKUP(A125,[1]Discos!$C$8:$H$253,6,FALSE)</f>
        <v>231</v>
      </c>
      <c r="E125" s="4">
        <v>12</v>
      </c>
      <c r="F125" s="4">
        <v>44.5</v>
      </c>
      <c r="G125" s="4">
        <v>60</v>
      </c>
      <c r="H125" s="4" t="str">
        <f>VLOOKUP(A125,[1]Discos!$C$8:$L$253,10,FALSE)</f>
        <v>4H</v>
      </c>
    </row>
    <row r="126" spans="1:8">
      <c r="A126" s="3" t="s">
        <v>158</v>
      </c>
      <c r="B126" s="4" t="s">
        <v>155</v>
      </c>
      <c r="C126" s="4" t="s">
        <v>156</v>
      </c>
      <c r="D126" s="4">
        <v>231</v>
      </c>
      <c r="E126" s="4">
        <v>12</v>
      </c>
      <c r="F126" s="4">
        <v>44.5</v>
      </c>
      <c r="G126" s="4">
        <v>60</v>
      </c>
      <c r="H126" s="4" t="s">
        <v>16</v>
      </c>
    </row>
    <row r="127" spans="1:8">
      <c r="A127" s="7" t="s">
        <v>159</v>
      </c>
      <c r="B127" s="4" t="s">
        <v>155</v>
      </c>
      <c r="C127" s="4" t="s">
        <v>156</v>
      </c>
      <c r="D127" s="4">
        <v>231</v>
      </c>
      <c r="E127" s="4">
        <v>12</v>
      </c>
      <c r="F127" s="4">
        <v>44.5</v>
      </c>
      <c r="G127" s="4">
        <v>60</v>
      </c>
      <c r="H127" s="4" t="s">
        <v>16</v>
      </c>
    </row>
    <row r="128" spans="1:8">
      <c r="A128" s="3" t="s">
        <v>160</v>
      </c>
      <c r="B128" s="4" t="s">
        <v>161</v>
      </c>
      <c r="C128" s="4" t="s">
        <v>10</v>
      </c>
      <c r="D128" s="4">
        <v>256</v>
      </c>
      <c r="E128" s="4">
        <v>18</v>
      </c>
      <c r="F128" s="4">
        <v>47</v>
      </c>
      <c r="G128" s="4">
        <v>60</v>
      </c>
      <c r="H128" s="4" t="s">
        <v>16</v>
      </c>
    </row>
    <row r="129" spans="1:8">
      <c r="A129" s="6" t="s">
        <v>162</v>
      </c>
      <c r="B129" s="4" t="s">
        <v>161</v>
      </c>
      <c r="C129" s="4" t="s">
        <v>10</v>
      </c>
      <c r="D129" s="4">
        <f>VLOOKUP(A129,[1]Discos!$C$8:$H$253,6,FALSE)</f>
        <v>256</v>
      </c>
      <c r="E129" s="4">
        <v>18</v>
      </c>
      <c r="F129" s="4">
        <v>47</v>
      </c>
      <c r="G129" s="4">
        <v>60</v>
      </c>
      <c r="H129" s="4" t="str">
        <f>VLOOKUP(A129,[1]Discos!$C$8:$L$253,10,FALSE)</f>
        <v>4H</v>
      </c>
    </row>
    <row r="130" spans="1:8">
      <c r="A130" s="7">
        <v>24510381</v>
      </c>
      <c r="B130" s="4" t="s">
        <v>161</v>
      </c>
      <c r="C130" s="4" t="s">
        <v>10</v>
      </c>
      <c r="D130" s="4">
        <v>256</v>
      </c>
      <c r="E130" s="4">
        <v>18</v>
      </c>
      <c r="F130" s="4">
        <v>47</v>
      </c>
      <c r="G130" s="4">
        <v>60</v>
      </c>
      <c r="H130" s="4" t="s">
        <v>16</v>
      </c>
    </row>
    <row r="131" spans="1:8">
      <c r="A131" s="7" t="s">
        <v>163</v>
      </c>
      <c r="B131" s="4" t="s">
        <v>161</v>
      </c>
      <c r="C131" s="4" t="s">
        <v>10</v>
      </c>
      <c r="D131" s="4">
        <v>256</v>
      </c>
      <c r="E131" s="4">
        <v>18</v>
      </c>
      <c r="F131" s="4">
        <v>47</v>
      </c>
      <c r="G131" s="4">
        <v>60</v>
      </c>
      <c r="H131" s="4" t="s">
        <v>16</v>
      </c>
    </row>
    <row r="132" spans="1:8">
      <c r="A132" s="3" t="s">
        <v>164</v>
      </c>
      <c r="B132" s="4" t="s">
        <v>165</v>
      </c>
      <c r="C132" s="4" t="s">
        <v>10</v>
      </c>
      <c r="D132" s="4">
        <v>256</v>
      </c>
      <c r="E132" s="4">
        <v>24</v>
      </c>
      <c r="F132" s="4">
        <v>47.5</v>
      </c>
      <c r="G132" s="4">
        <v>60</v>
      </c>
      <c r="H132" s="4" t="s">
        <v>16</v>
      </c>
    </row>
    <row r="133" spans="1:8">
      <c r="A133" s="9" t="s">
        <v>166</v>
      </c>
      <c r="B133" s="4" t="s">
        <v>165</v>
      </c>
      <c r="C133" s="4" t="s">
        <v>10</v>
      </c>
      <c r="D133" s="4">
        <f>VLOOKUP(A133,[1]Discos!$C$8:$H$253,6,FALSE)</f>
        <v>256</v>
      </c>
      <c r="E133" s="4">
        <v>24</v>
      </c>
      <c r="F133" s="4">
        <v>47.5</v>
      </c>
      <c r="G133" s="4">
        <v>60</v>
      </c>
      <c r="H133" s="4" t="str">
        <f>VLOOKUP(A133,[1]Discos!$C$8:$L$253,10,FALSE)</f>
        <v>4H</v>
      </c>
    </row>
    <row r="134" spans="1:8">
      <c r="A134" s="6" t="s">
        <v>167</v>
      </c>
      <c r="B134" s="4" t="s">
        <v>165</v>
      </c>
      <c r="C134" s="4" t="s">
        <v>10</v>
      </c>
      <c r="D134" s="4">
        <v>256</v>
      </c>
      <c r="E134" s="4">
        <v>24</v>
      </c>
      <c r="F134" s="4">
        <v>47.5</v>
      </c>
      <c r="G134" s="4">
        <v>60</v>
      </c>
      <c r="H134" s="4" t="s">
        <v>16</v>
      </c>
    </row>
    <row r="135" spans="1:8">
      <c r="A135" s="6" t="s">
        <v>168</v>
      </c>
      <c r="B135" s="4" t="s">
        <v>165</v>
      </c>
      <c r="C135" s="4" t="s">
        <v>10</v>
      </c>
      <c r="D135" s="4">
        <v>256</v>
      </c>
      <c r="E135" s="4">
        <v>24</v>
      </c>
      <c r="F135" s="4">
        <v>47.5</v>
      </c>
      <c r="G135" s="4">
        <v>60</v>
      </c>
      <c r="H135" s="4" t="s">
        <v>16</v>
      </c>
    </row>
    <row r="136" spans="1:8">
      <c r="A136" s="3" t="s">
        <v>169</v>
      </c>
      <c r="B136" s="4" t="s">
        <v>170</v>
      </c>
      <c r="C136" s="4" t="s">
        <v>156</v>
      </c>
      <c r="D136" s="4">
        <v>258</v>
      </c>
      <c r="E136" s="4">
        <v>10.5</v>
      </c>
      <c r="F136" s="4">
        <v>57.5</v>
      </c>
      <c r="G136" s="4">
        <v>60</v>
      </c>
      <c r="H136" s="4" t="s">
        <v>16</v>
      </c>
    </row>
    <row r="137" spans="1:8">
      <c r="A137" s="9" t="s">
        <v>171</v>
      </c>
      <c r="B137" s="4" t="s">
        <v>170</v>
      </c>
      <c r="C137" s="4" t="s">
        <v>156</v>
      </c>
      <c r="D137" s="4">
        <f>VLOOKUP(A137,[1]Discos!$C$8:$H$253,6,FALSE)</f>
        <v>258</v>
      </c>
      <c r="E137" s="4">
        <v>10.5</v>
      </c>
      <c r="F137" s="4">
        <v>57.5</v>
      </c>
      <c r="G137" s="4">
        <v>60</v>
      </c>
      <c r="H137" s="4" t="str">
        <f>VLOOKUP(A137,[1]Discos!$C$8:$L$253,10,FALSE)</f>
        <v>4H</v>
      </c>
    </row>
    <row r="138" spans="1:8">
      <c r="A138" s="6" t="s">
        <v>172</v>
      </c>
      <c r="B138" s="4" t="s">
        <v>170</v>
      </c>
      <c r="C138" s="4" t="s">
        <v>156</v>
      </c>
      <c r="D138" s="4">
        <v>258</v>
      </c>
      <c r="E138" s="4">
        <v>10.5</v>
      </c>
      <c r="F138" s="4">
        <v>57.5</v>
      </c>
      <c r="G138" s="4">
        <v>60</v>
      </c>
      <c r="H138" s="4" t="s">
        <v>16</v>
      </c>
    </row>
    <row r="139" spans="1:8">
      <c r="A139" s="6" t="s">
        <v>173</v>
      </c>
      <c r="B139" s="4" t="s">
        <v>170</v>
      </c>
      <c r="C139" s="4" t="s">
        <v>156</v>
      </c>
      <c r="D139" s="4">
        <v>258</v>
      </c>
      <c r="E139" s="4">
        <v>10.5</v>
      </c>
      <c r="F139" s="4">
        <v>57.5</v>
      </c>
      <c r="G139" s="4">
        <v>60</v>
      </c>
      <c r="H139" s="4" t="s">
        <v>16</v>
      </c>
    </row>
    <row r="140" spans="1:8">
      <c r="A140" s="3" t="s">
        <v>174</v>
      </c>
      <c r="B140" s="4" t="s">
        <v>175</v>
      </c>
      <c r="C140" s="4" t="s">
        <v>10</v>
      </c>
      <c r="D140" s="4">
        <v>256</v>
      </c>
      <c r="E140" s="4">
        <v>22</v>
      </c>
      <c r="F140" s="4">
        <v>40.5</v>
      </c>
      <c r="G140" s="4">
        <v>59</v>
      </c>
      <c r="H140" s="4" t="s">
        <v>16</v>
      </c>
    </row>
    <row r="141" spans="1:8">
      <c r="A141" s="7" t="s">
        <v>176</v>
      </c>
      <c r="B141" s="4" t="s">
        <v>175</v>
      </c>
      <c r="C141" s="4" t="s">
        <v>10</v>
      </c>
      <c r="D141" s="4">
        <f>VLOOKUP(A141,[1]Discos!$C$8:$H$253,6,FALSE)</f>
        <v>256</v>
      </c>
      <c r="E141" s="4">
        <v>22</v>
      </c>
      <c r="F141" s="4">
        <v>40.5</v>
      </c>
      <c r="G141" s="4">
        <v>59</v>
      </c>
      <c r="H141" s="4" t="str">
        <f>VLOOKUP(A141,[1]Discos!$C$8:$L$253,10,FALSE)</f>
        <v>4H</v>
      </c>
    </row>
    <row r="142" spans="1:8">
      <c r="A142" s="6" t="s">
        <v>177</v>
      </c>
      <c r="B142" s="4" t="s">
        <v>175</v>
      </c>
      <c r="C142" s="4" t="s">
        <v>10</v>
      </c>
      <c r="D142" s="4">
        <v>256</v>
      </c>
      <c r="E142" s="4">
        <v>22</v>
      </c>
      <c r="F142" s="4">
        <v>40.5</v>
      </c>
      <c r="G142" s="4">
        <v>59</v>
      </c>
      <c r="H142" s="4" t="s">
        <v>16</v>
      </c>
    </row>
    <row r="143" spans="1:8">
      <c r="A143" s="6" t="s">
        <v>178</v>
      </c>
      <c r="B143" s="4" t="s">
        <v>175</v>
      </c>
      <c r="C143" s="4" t="s">
        <v>10</v>
      </c>
      <c r="D143" s="4">
        <v>256</v>
      </c>
      <c r="E143" s="4">
        <v>22</v>
      </c>
      <c r="F143" s="4">
        <v>40.5</v>
      </c>
      <c r="G143" s="4">
        <v>59</v>
      </c>
      <c r="H143" s="4" t="s">
        <v>16</v>
      </c>
    </row>
    <row r="144" spans="1:8">
      <c r="A144" s="3" t="s">
        <v>179</v>
      </c>
      <c r="B144" s="4" t="s">
        <v>180</v>
      </c>
      <c r="C144" s="4" t="s">
        <v>156</v>
      </c>
      <c r="D144" s="4">
        <v>238</v>
      </c>
      <c r="E144" s="4">
        <v>11</v>
      </c>
      <c r="F144" s="4">
        <v>94</v>
      </c>
      <c r="G144" s="4">
        <v>50.2</v>
      </c>
      <c r="H144" s="4" t="s">
        <v>16</v>
      </c>
    </row>
    <row r="145" spans="1:8">
      <c r="A145" s="6" t="s">
        <v>181</v>
      </c>
      <c r="B145" s="4" t="s">
        <v>180</v>
      </c>
      <c r="C145" s="4" t="s">
        <v>156</v>
      </c>
      <c r="D145" s="4">
        <f>VLOOKUP(A145,[1]Discos!$C$8:$H$253,6,FALSE)</f>
        <v>238</v>
      </c>
      <c r="E145" s="4">
        <v>11</v>
      </c>
      <c r="F145" s="4">
        <v>94</v>
      </c>
      <c r="G145" s="4">
        <v>50.2</v>
      </c>
      <c r="H145" s="4" t="str">
        <f>VLOOKUP(A145,[1]Discos!$C$8:$L$253,10,FALSE)</f>
        <v>4H</v>
      </c>
    </row>
    <row r="146" spans="1:8">
      <c r="A146" s="7">
        <v>94607738</v>
      </c>
      <c r="B146" s="4" t="s">
        <v>180</v>
      </c>
      <c r="C146" s="4" t="s">
        <v>156</v>
      </c>
      <c r="D146" s="4">
        <v>238</v>
      </c>
      <c r="E146" s="4">
        <v>11</v>
      </c>
      <c r="F146" s="4">
        <v>94</v>
      </c>
      <c r="G146" s="4">
        <v>50.2</v>
      </c>
      <c r="H146" s="4" t="s">
        <v>16</v>
      </c>
    </row>
    <row r="147" spans="1:8">
      <c r="A147" s="7" t="s">
        <v>182</v>
      </c>
      <c r="B147" s="4" t="s">
        <v>180</v>
      </c>
      <c r="C147" s="4" t="s">
        <v>156</v>
      </c>
      <c r="D147" s="4">
        <v>238</v>
      </c>
      <c r="E147" s="4">
        <v>11</v>
      </c>
      <c r="F147" s="4">
        <v>94</v>
      </c>
      <c r="G147" s="4">
        <v>50.2</v>
      </c>
      <c r="H147" s="4" t="s">
        <v>16</v>
      </c>
    </row>
    <row r="148" spans="1:8">
      <c r="A148" s="3" t="s">
        <v>183</v>
      </c>
      <c r="B148" s="4" t="s">
        <v>184</v>
      </c>
      <c r="C148" s="4" t="s">
        <v>10</v>
      </c>
      <c r="D148" s="4">
        <v>235</v>
      </c>
      <c r="E148" s="4">
        <v>20</v>
      </c>
      <c r="F148" s="4">
        <v>41</v>
      </c>
      <c r="G148" s="4">
        <v>59</v>
      </c>
      <c r="H148" s="4" t="s">
        <v>16</v>
      </c>
    </row>
    <row r="149" spans="1:8">
      <c r="A149" s="6" t="s">
        <v>185</v>
      </c>
      <c r="B149" s="4" t="s">
        <v>184</v>
      </c>
      <c r="C149" s="4" t="s">
        <v>10</v>
      </c>
      <c r="D149" s="4">
        <f>VLOOKUP(A149,[1]Discos!$C$8:$H$253,6,FALSE)</f>
        <v>235</v>
      </c>
      <c r="E149" s="4">
        <v>20</v>
      </c>
      <c r="F149" s="4">
        <v>41</v>
      </c>
      <c r="G149" s="4">
        <v>59</v>
      </c>
      <c r="H149" s="4" t="str">
        <f>VLOOKUP(A149,[1]Discos!$C$8:$L$253,10,FALSE)</f>
        <v>4H</v>
      </c>
    </row>
    <row r="150" spans="1:8">
      <c r="A150" s="6" t="s">
        <v>186</v>
      </c>
      <c r="B150" s="4" t="s">
        <v>184</v>
      </c>
      <c r="C150" s="4" t="s">
        <v>10</v>
      </c>
      <c r="D150" s="4">
        <v>235</v>
      </c>
      <c r="E150" s="4">
        <v>20</v>
      </c>
      <c r="F150" s="4">
        <v>41</v>
      </c>
      <c r="G150" s="4">
        <v>59</v>
      </c>
      <c r="H150" s="4" t="s">
        <v>16</v>
      </c>
    </row>
    <row r="151" spans="1:8">
      <c r="A151" s="7" t="s">
        <v>187</v>
      </c>
      <c r="B151" s="4" t="s">
        <v>184</v>
      </c>
      <c r="C151" s="4" t="s">
        <v>10</v>
      </c>
      <c r="D151" s="4">
        <v>235</v>
      </c>
      <c r="E151" s="4">
        <v>20</v>
      </c>
      <c r="F151" s="4">
        <v>41</v>
      </c>
      <c r="G151" s="4">
        <v>59</v>
      </c>
      <c r="H151" s="4" t="s">
        <v>16</v>
      </c>
    </row>
    <row r="152" spans="1:8">
      <c r="A152" s="3" t="s">
        <v>188</v>
      </c>
      <c r="B152" s="4" t="s">
        <v>189</v>
      </c>
      <c r="C152" s="4" t="s">
        <v>156</v>
      </c>
      <c r="D152" s="4">
        <v>236</v>
      </c>
      <c r="E152" s="4">
        <v>12.5</v>
      </c>
      <c r="F152" s="4">
        <v>35.5</v>
      </c>
      <c r="G152" s="4">
        <v>86</v>
      </c>
      <c r="H152" s="4" t="s">
        <v>16</v>
      </c>
    </row>
    <row r="153" spans="1:8">
      <c r="A153" s="6" t="s">
        <v>190</v>
      </c>
      <c r="B153" s="4" t="s">
        <v>189</v>
      </c>
      <c r="C153" s="4" t="s">
        <v>156</v>
      </c>
      <c r="D153" s="4">
        <f>VLOOKUP(A153,[1]Discos!$C$8:$H$253,6,FALSE)</f>
        <v>236</v>
      </c>
      <c r="E153" s="4">
        <v>12.5</v>
      </c>
      <c r="F153" s="4">
        <v>35.5</v>
      </c>
      <c r="G153" s="4">
        <v>86</v>
      </c>
      <c r="H153" s="4" t="str">
        <f>VLOOKUP(A153,[1]Discos!$C$8:$L$253,10,FALSE)</f>
        <v>4H</v>
      </c>
    </row>
    <row r="154" spans="1:8">
      <c r="A154" s="6" t="s">
        <v>191</v>
      </c>
      <c r="B154" s="4" t="s">
        <v>189</v>
      </c>
      <c r="C154" s="4" t="s">
        <v>156</v>
      </c>
      <c r="D154" s="4">
        <v>236</v>
      </c>
      <c r="E154" s="4">
        <v>12.5</v>
      </c>
      <c r="F154" s="4">
        <v>35.5</v>
      </c>
      <c r="G154" s="4">
        <v>86</v>
      </c>
      <c r="H154" s="4" t="s">
        <v>16</v>
      </c>
    </row>
    <row r="155" spans="1:8">
      <c r="A155" s="7" t="s">
        <v>192</v>
      </c>
      <c r="B155" s="4" t="s">
        <v>189</v>
      </c>
      <c r="C155" s="4" t="s">
        <v>156</v>
      </c>
      <c r="D155" s="4">
        <v>236</v>
      </c>
      <c r="E155" s="4">
        <v>12.5</v>
      </c>
      <c r="F155" s="4">
        <v>35.5</v>
      </c>
      <c r="G155" s="4">
        <v>86</v>
      </c>
      <c r="H155" s="4" t="s">
        <v>16</v>
      </c>
    </row>
    <row r="156" spans="1:8">
      <c r="A156" s="3" t="s">
        <v>193</v>
      </c>
      <c r="B156" s="4" t="s">
        <v>194</v>
      </c>
      <c r="C156" s="4" t="s">
        <v>10</v>
      </c>
      <c r="D156" s="4">
        <v>235</v>
      </c>
      <c r="E156" s="4">
        <v>20</v>
      </c>
      <c r="F156" s="4">
        <v>49.5</v>
      </c>
      <c r="G156" s="4">
        <v>60</v>
      </c>
      <c r="H156" s="4" t="s">
        <v>16</v>
      </c>
    </row>
    <row r="157" spans="1:8">
      <c r="A157" s="8" t="s">
        <v>195</v>
      </c>
      <c r="B157" s="4" t="s">
        <v>194</v>
      </c>
      <c r="C157" s="4" t="s">
        <v>10</v>
      </c>
      <c r="D157" s="4">
        <f>VLOOKUP(A157,[1]Discos!$C$8:$H$253,6,FALSE)</f>
        <v>235</v>
      </c>
      <c r="E157" s="4">
        <v>20</v>
      </c>
      <c r="F157" s="4">
        <v>49.5</v>
      </c>
      <c r="G157" s="4">
        <v>60</v>
      </c>
      <c r="H157" s="4" t="str">
        <f>VLOOKUP(A157,[1]Discos!$C$8:$L$253,10,FALSE)</f>
        <v>4H</v>
      </c>
    </row>
    <row r="158" spans="1:8">
      <c r="A158" s="8" t="s">
        <v>196</v>
      </c>
      <c r="B158" s="4" t="s">
        <v>194</v>
      </c>
      <c r="C158" s="4" t="s">
        <v>10</v>
      </c>
      <c r="D158" s="4">
        <v>235</v>
      </c>
      <c r="E158" s="4">
        <v>20</v>
      </c>
      <c r="F158" s="4">
        <v>49.5</v>
      </c>
      <c r="G158" s="4">
        <v>60</v>
      </c>
      <c r="H158" s="4" t="s">
        <v>16</v>
      </c>
    </row>
    <row r="159" spans="1:8">
      <c r="A159" s="8" t="s">
        <v>197</v>
      </c>
      <c r="B159" s="4" t="s">
        <v>194</v>
      </c>
      <c r="C159" s="4" t="s">
        <v>10</v>
      </c>
      <c r="D159" s="4">
        <v>235</v>
      </c>
      <c r="E159" s="4">
        <v>20</v>
      </c>
      <c r="F159" s="4">
        <v>49.5</v>
      </c>
      <c r="G159" s="4">
        <v>60</v>
      </c>
      <c r="H159" s="4" t="s">
        <v>16</v>
      </c>
    </row>
    <row r="160" spans="1:8">
      <c r="A160" s="3" t="s">
        <v>198</v>
      </c>
      <c r="B160" s="4" t="s">
        <v>199</v>
      </c>
      <c r="C160" s="4" t="s">
        <v>156</v>
      </c>
      <c r="D160" s="4">
        <v>215</v>
      </c>
      <c r="E160" s="4">
        <v>10</v>
      </c>
      <c r="F160" s="4">
        <v>33</v>
      </c>
      <c r="G160" s="4">
        <v>86</v>
      </c>
      <c r="H160" s="4" t="s">
        <v>16</v>
      </c>
    </row>
    <row r="161" spans="1:8">
      <c r="A161" s="8" t="s">
        <v>200</v>
      </c>
      <c r="B161" s="4" t="s">
        <v>199</v>
      </c>
      <c r="C161" s="4" t="s">
        <v>156</v>
      </c>
      <c r="D161" s="4">
        <f>VLOOKUP(A161,[1]Discos!$C$8:$H$253,6,FALSE)</f>
        <v>215</v>
      </c>
      <c r="E161" s="4">
        <v>10</v>
      </c>
      <c r="F161" s="4">
        <v>33</v>
      </c>
      <c r="G161" s="4">
        <v>86</v>
      </c>
      <c r="H161" s="4" t="str">
        <f>VLOOKUP(A161,[1]Discos!$C$8:$L$253,10,FALSE)</f>
        <v>4H</v>
      </c>
    </row>
    <row r="162" spans="1:8">
      <c r="A162" s="8">
        <v>30005701</v>
      </c>
      <c r="B162" s="4" t="s">
        <v>199</v>
      </c>
      <c r="C162" s="4" t="s">
        <v>156</v>
      </c>
      <c r="D162" s="4">
        <v>215</v>
      </c>
      <c r="E162" s="4">
        <v>10</v>
      </c>
      <c r="F162" s="4">
        <v>33</v>
      </c>
      <c r="G162" s="4">
        <v>86</v>
      </c>
      <c r="H162" s="4" t="s">
        <v>16</v>
      </c>
    </row>
    <row r="163" spans="1:8">
      <c r="A163" s="8" t="s">
        <v>201</v>
      </c>
      <c r="B163" s="4" t="s">
        <v>199</v>
      </c>
      <c r="C163" s="4" t="s">
        <v>156</v>
      </c>
      <c r="D163" s="4">
        <v>215</v>
      </c>
      <c r="E163" s="4">
        <v>10</v>
      </c>
      <c r="F163" s="4">
        <v>33</v>
      </c>
      <c r="G163" s="4">
        <v>86</v>
      </c>
      <c r="H163" s="4" t="s">
        <v>16</v>
      </c>
    </row>
    <row r="164" spans="1:8">
      <c r="A164" s="3" t="s">
        <v>202</v>
      </c>
      <c r="B164" s="4" t="s">
        <v>203</v>
      </c>
      <c r="C164" s="4" t="s">
        <v>10</v>
      </c>
      <c r="D164" s="4">
        <v>250</v>
      </c>
      <c r="E164" s="4">
        <v>18.5</v>
      </c>
      <c r="F164" s="4">
        <v>47</v>
      </c>
      <c r="G164" s="4">
        <v>64</v>
      </c>
      <c r="H164" s="4" t="s">
        <v>16</v>
      </c>
    </row>
    <row r="165" spans="1:8">
      <c r="A165" s="8" t="s">
        <v>204</v>
      </c>
      <c r="B165" s="4" t="s">
        <v>203</v>
      </c>
      <c r="C165" s="4" t="s">
        <v>10</v>
      </c>
      <c r="D165" s="4">
        <f>VLOOKUP(A165,[1]Discos!$C$8:$H$253,6,FALSE)</f>
        <v>250</v>
      </c>
      <c r="E165" s="4">
        <v>18.5</v>
      </c>
      <c r="F165" s="4">
        <v>47</v>
      </c>
      <c r="G165" s="4">
        <v>64</v>
      </c>
      <c r="H165" s="4" t="str">
        <f>VLOOKUP(A165,[1]Discos!$C$8:$L$253,10,FALSE)</f>
        <v>4H</v>
      </c>
    </row>
    <row r="166" spans="1:8">
      <c r="A166" s="8" t="s">
        <v>205</v>
      </c>
      <c r="B166" s="4" t="s">
        <v>203</v>
      </c>
      <c r="C166" s="4" t="s">
        <v>10</v>
      </c>
      <c r="D166" s="4">
        <v>250</v>
      </c>
      <c r="E166" s="4">
        <v>18.5</v>
      </c>
      <c r="F166" s="4">
        <v>47</v>
      </c>
      <c r="G166" s="4">
        <v>64</v>
      </c>
      <c r="H166" s="4" t="s">
        <v>16</v>
      </c>
    </row>
    <row r="167" spans="1:8">
      <c r="A167" s="8" t="s">
        <v>206</v>
      </c>
      <c r="B167" s="4" t="s">
        <v>203</v>
      </c>
      <c r="C167" s="4" t="s">
        <v>10</v>
      </c>
      <c r="D167" s="4">
        <v>250</v>
      </c>
      <c r="E167" s="4">
        <v>18.5</v>
      </c>
      <c r="F167" s="4">
        <v>47</v>
      </c>
      <c r="G167" s="4">
        <v>64</v>
      </c>
      <c r="H167" s="4" t="s">
        <v>16</v>
      </c>
    </row>
    <row r="168" spans="1:8">
      <c r="A168" s="3" t="s">
        <v>207</v>
      </c>
      <c r="B168" s="4" t="s">
        <v>208</v>
      </c>
      <c r="C168" s="4" t="s">
        <v>10</v>
      </c>
      <c r="D168" s="4">
        <v>231</v>
      </c>
      <c r="E168" s="4">
        <v>17</v>
      </c>
      <c r="F168" s="4">
        <v>50</v>
      </c>
      <c r="G168" s="4">
        <v>64</v>
      </c>
      <c r="H168" s="4" t="s">
        <v>16</v>
      </c>
    </row>
    <row r="169" spans="1:8">
      <c r="A169" s="8" t="s">
        <v>209</v>
      </c>
      <c r="B169" s="4" t="s">
        <v>208</v>
      </c>
      <c r="C169" s="4" t="s">
        <v>10</v>
      </c>
      <c r="D169" s="4">
        <f>VLOOKUP(A169,[1]Discos!$C$8:$H$253,6,FALSE)</f>
        <v>231</v>
      </c>
      <c r="E169" s="4">
        <v>17</v>
      </c>
      <c r="F169" s="4">
        <v>50</v>
      </c>
      <c r="G169" s="4">
        <v>64</v>
      </c>
      <c r="H169" s="4" t="str">
        <f>VLOOKUP(A169,[1]Discos!$C$8:$L$253,10,FALSE)</f>
        <v>4H</v>
      </c>
    </row>
    <row r="170" spans="1:8">
      <c r="A170" s="8" t="s">
        <v>210</v>
      </c>
      <c r="B170" s="4" t="s">
        <v>208</v>
      </c>
      <c r="C170" s="4" t="s">
        <v>10</v>
      </c>
      <c r="D170" s="4">
        <v>231</v>
      </c>
      <c r="E170" s="4">
        <v>17</v>
      </c>
      <c r="F170" s="4">
        <v>50</v>
      </c>
      <c r="G170" s="4">
        <v>64</v>
      </c>
      <c r="H170" s="4" t="s">
        <v>16</v>
      </c>
    </row>
    <row r="171" spans="1:8">
      <c r="A171" s="8" t="s">
        <v>211</v>
      </c>
      <c r="B171" s="4" t="s">
        <v>208</v>
      </c>
      <c r="C171" s="4" t="s">
        <v>10</v>
      </c>
      <c r="D171" s="4">
        <v>231</v>
      </c>
      <c r="E171" s="4">
        <v>17</v>
      </c>
      <c r="F171" s="4">
        <v>50</v>
      </c>
      <c r="G171" s="4">
        <v>64</v>
      </c>
      <c r="H171" s="4" t="s">
        <v>16</v>
      </c>
    </row>
    <row r="172" spans="1:8">
      <c r="A172" s="3" t="s">
        <v>212</v>
      </c>
      <c r="B172" s="4" t="s">
        <v>213</v>
      </c>
      <c r="C172" s="4" t="s">
        <v>156</v>
      </c>
      <c r="D172" s="4">
        <v>231</v>
      </c>
      <c r="E172" s="4">
        <v>12</v>
      </c>
      <c r="F172" s="4">
        <v>50</v>
      </c>
      <c r="G172" s="4">
        <v>64</v>
      </c>
      <c r="H172" s="4" t="s">
        <v>16</v>
      </c>
    </row>
    <row r="173" spans="1:8">
      <c r="A173" s="8" t="s">
        <v>214</v>
      </c>
      <c r="B173" s="4" t="s">
        <v>213</v>
      </c>
      <c r="C173" s="4" t="s">
        <v>156</v>
      </c>
      <c r="D173" s="4">
        <v>231</v>
      </c>
      <c r="E173" s="4">
        <v>12</v>
      </c>
      <c r="F173" s="4">
        <v>50</v>
      </c>
      <c r="G173" s="4">
        <v>64</v>
      </c>
      <c r="H173" s="4" t="s">
        <v>16</v>
      </c>
    </row>
    <row r="174" spans="1:8">
      <c r="A174" s="8" t="s">
        <v>215</v>
      </c>
      <c r="B174" s="4" t="s">
        <v>213</v>
      </c>
      <c r="C174" s="4" t="s">
        <v>156</v>
      </c>
      <c r="D174" s="4">
        <v>231</v>
      </c>
      <c r="E174" s="4">
        <v>12</v>
      </c>
      <c r="F174" s="4">
        <v>50</v>
      </c>
      <c r="G174" s="4">
        <v>64</v>
      </c>
      <c r="H174" s="4" t="s">
        <v>16</v>
      </c>
    </row>
    <row r="175" spans="1:8">
      <c r="A175" s="3" t="s">
        <v>216</v>
      </c>
      <c r="B175" s="4" t="s">
        <v>217</v>
      </c>
      <c r="C175" s="4" t="s">
        <v>22</v>
      </c>
      <c r="D175" s="4">
        <v>259</v>
      </c>
      <c r="E175" s="4">
        <v>9</v>
      </c>
      <c r="F175" s="4">
        <v>43.5</v>
      </c>
      <c r="G175" s="4">
        <v>62</v>
      </c>
      <c r="H175" s="4" t="s">
        <v>11</v>
      </c>
    </row>
    <row r="176" spans="1:8">
      <c r="A176" s="3" t="s">
        <v>218</v>
      </c>
      <c r="B176" s="4" t="s">
        <v>217</v>
      </c>
      <c r="C176" s="4" t="s">
        <v>10</v>
      </c>
      <c r="D176" s="4">
        <v>280</v>
      </c>
      <c r="E176" s="4">
        <v>22</v>
      </c>
      <c r="F176" s="4">
        <v>47</v>
      </c>
      <c r="G176" s="4">
        <v>62</v>
      </c>
      <c r="H176" s="4" t="s">
        <v>11</v>
      </c>
    </row>
    <row r="177" spans="1:8">
      <c r="A177" s="8" t="s">
        <v>219</v>
      </c>
      <c r="B177" s="4" t="s">
        <v>217</v>
      </c>
      <c r="C177" s="4" t="s">
        <v>22</v>
      </c>
      <c r="D177" s="4">
        <f>VLOOKUP(A177,[1]Discos!$C$8:$H$253,6,FALSE)</f>
        <v>259</v>
      </c>
      <c r="E177" s="4">
        <v>9</v>
      </c>
      <c r="F177" s="4">
        <v>43.5</v>
      </c>
      <c r="G177" s="4">
        <v>62</v>
      </c>
      <c r="H177" s="4" t="str">
        <f>VLOOKUP(A177,[1]Discos!$C$8:$L$253,10,FALSE)</f>
        <v>5H</v>
      </c>
    </row>
    <row r="178" spans="1:8">
      <c r="A178" s="8" t="s">
        <v>220</v>
      </c>
      <c r="B178" s="4" t="s">
        <v>217</v>
      </c>
      <c r="C178" s="4" t="s">
        <v>10</v>
      </c>
      <c r="D178" s="4">
        <f>VLOOKUP(A178,[1]Discos!$C$8:$H$253,6,FALSE)</f>
        <v>280</v>
      </c>
      <c r="E178" s="4">
        <v>22</v>
      </c>
      <c r="F178" s="4">
        <v>47</v>
      </c>
      <c r="G178" s="4">
        <v>62</v>
      </c>
      <c r="H178" s="4" t="str">
        <f>VLOOKUP(A178,[1]Discos!$C$8:$L$253,10,FALSE)</f>
        <v>5H</v>
      </c>
    </row>
    <row r="179" spans="1:8">
      <c r="A179" s="8" t="s">
        <v>221</v>
      </c>
      <c r="B179" s="4" t="s">
        <v>217</v>
      </c>
      <c r="C179" s="4" t="s">
        <v>22</v>
      </c>
      <c r="D179" s="4">
        <v>259</v>
      </c>
      <c r="E179" s="4">
        <v>9</v>
      </c>
      <c r="F179" s="4">
        <v>43.5</v>
      </c>
      <c r="G179" s="4">
        <v>62</v>
      </c>
      <c r="H179" s="4" t="s">
        <v>11</v>
      </c>
    </row>
    <row r="180" spans="1:8">
      <c r="A180" s="8" t="s">
        <v>222</v>
      </c>
      <c r="B180" s="4" t="s">
        <v>217</v>
      </c>
      <c r="C180" s="4" t="s">
        <v>22</v>
      </c>
      <c r="D180" s="4">
        <v>259</v>
      </c>
      <c r="E180" s="4">
        <v>9</v>
      </c>
      <c r="F180" s="4">
        <v>43.5</v>
      </c>
      <c r="G180" s="4">
        <v>62</v>
      </c>
      <c r="H180" s="4" t="s">
        <v>11</v>
      </c>
    </row>
    <row r="181" spans="1:8">
      <c r="A181" s="8" t="s">
        <v>223</v>
      </c>
      <c r="B181" s="4" t="s">
        <v>217</v>
      </c>
      <c r="C181" s="4" t="s">
        <v>10</v>
      </c>
      <c r="D181" s="4">
        <v>280</v>
      </c>
      <c r="E181" s="4">
        <v>22</v>
      </c>
      <c r="F181" s="4">
        <v>47</v>
      </c>
      <c r="G181" s="4">
        <v>62</v>
      </c>
      <c r="H181" s="4" t="s">
        <v>11</v>
      </c>
    </row>
    <row r="182" spans="1:8">
      <c r="A182" s="3" t="s">
        <v>224</v>
      </c>
      <c r="B182" s="4" t="s">
        <v>225</v>
      </c>
      <c r="C182" s="4" t="s">
        <v>10</v>
      </c>
      <c r="D182" s="4">
        <v>276</v>
      </c>
      <c r="E182" s="4">
        <v>26</v>
      </c>
      <c r="F182" s="4">
        <v>45.5</v>
      </c>
      <c r="G182" s="4">
        <v>60</v>
      </c>
      <c r="H182" s="4" t="s">
        <v>11</v>
      </c>
    </row>
    <row r="183" spans="1:8">
      <c r="A183" s="8" t="s">
        <v>226</v>
      </c>
      <c r="B183" s="4" t="s">
        <v>225</v>
      </c>
      <c r="C183" s="4" t="s">
        <v>10</v>
      </c>
      <c r="D183" s="4">
        <f>VLOOKUP(A183,[1]Discos!$C$8:$H$253,6,FALSE)</f>
        <v>276</v>
      </c>
      <c r="E183" s="4">
        <v>26</v>
      </c>
      <c r="F183" s="4">
        <v>45.5</v>
      </c>
      <c r="G183" s="4">
        <v>60</v>
      </c>
      <c r="H183" s="4" t="str">
        <f>VLOOKUP(A183,[1]Discos!$C$8:$L$253,10,FALSE)</f>
        <v>5H</v>
      </c>
    </row>
    <row r="184" spans="1:8">
      <c r="A184" s="8">
        <v>26700656</v>
      </c>
      <c r="B184" s="4" t="s">
        <v>225</v>
      </c>
      <c r="C184" s="4" t="s">
        <v>10</v>
      </c>
      <c r="D184" s="4">
        <v>276</v>
      </c>
      <c r="E184" s="4">
        <v>26</v>
      </c>
      <c r="F184" s="4">
        <v>45.5</v>
      </c>
      <c r="G184" s="4">
        <v>60</v>
      </c>
      <c r="H184" s="4" t="s">
        <v>11</v>
      </c>
    </row>
    <row r="185" spans="1:8">
      <c r="A185" s="8" t="s">
        <v>227</v>
      </c>
      <c r="B185" s="4" t="s">
        <v>225</v>
      </c>
      <c r="C185" s="4" t="s">
        <v>10</v>
      </c>
      <c r="D185" s="4">
        <v>276</v>
      </c>
      <c r="E185" s="4">
        <v>26</v>
      </c>
      <c r="F185" s="4">
        <v>45.5</v>
      </c>
      <c r="G185" s="4">
        <v>60</v>
      </c>
      <c r="H185" s="4" t="s">
        <v>11</v>
      </c>
    </row>
    <row r="186" spans="1:8">
      <c r="A186" s="3" t="s">
        <v>228</v>
      </c>
      <c r="B186" s="4" t="s">
        <v>229</v>
      </c>
      <c r="C186" s="4" t="s">
        <v>10</v>
      </c>
      <c r="D186" s="4">
        <v>300</v>
      </c>
      <c r="E186" s="4">
        <v>26</v>
      </c>
      <c r="F186" s="4">
        <v>46</v>
      </c>
      <c r="G186" s="4">
        <v>60</v>
      </c>
      <c r="H186" s="4" t="s">
        <v>11</v>
      </c>
    </row>
    <row r="187" spans="1:8">
      <c r="A187" s="8" t="s">
        <v>230</v>
      </c>
      <c r="B187" s="4" t="s">
        <v>229</v>
      </c>
      <c r="C187" s="4" t="s">
        <v>10</v>
      </c>
      <c r="D187" s="4">
        <f>VLOOKUP(A187,[1]Discos!$C$8:$H$253,6,FALSE)</f>
        <v>300</v>
      </c>
      <c r="E187" s="4">
        <v>26</v>
      </c>
      <c r="F187" s="4">
        <v>46</v>
      </c>
      <c r="G187" s="4">
        <v>60</v>
      </c>
      <c r="H187" s="4" t="str">
        <f>VLOOKUP(A187,[1]Discos!$C$8:$L$253,10,FALSE)</f>
        <v>5H</v>
      </c>
    </row>
    <row r="188" spans="1:8">
      <c r="A188" s="8">
        <v>569091</v>
      </c>
      <c r="B188" s="4" t="s">
        <v>229</v>
      </c>
      <c r="C188" s="4" t="s">
        <v>10</v>
      </c>
      <c r="D188" s="4">
        <v>300</v>
      </c>
      <c r="E188" s="4">
        <v>26</v>
      </c>
      <c r="F188" s="4">
        <v>46</v>
      </c>
      <c r="G188" s="4">
        <v>60</v>
      </c>
      <c r="H188" s="4" t="s">
        <v>11</v>
      </c>
    </row>
    <row r="189" spans="1:8">
      <c r="A189" s="8" t="s">
        <v>231</v>
      </c>
      <c r="B189" s="4" t="s">
        <v>229</v>
      </c>
      <c r="C189" s="4" t="s">
        <v>10</v>
      </c>
      <c r="D189" s="4">
        <v>300</v>
      </c>
      <c r="E189" s="4">
        <v>26</v>
      </c>
      <c r="F189" s="4">
        <v>46</v>
      </c>
      <c r="G189" s="4">
        <v>60</v>
      </c>
      <c r="H189" s="4" t="s">
        <v>11</v>
      </c>
    </row>
    <row r="190" spans="1:8">
      <c r="A190" s="3" t="s">
        <v>232</v>
      </c>
      <c r="B190" s="4" t="s">
        <v>233</v>
      </c>
      <c r="C190" s="4" t="s">
        <v>22</v>
      </c>
      <c r="D190" s="4">
        <v>251</v>
      </c>
      <c r="E190" s="4">
        <v>10</v>
      </c>
      <c r="F190" s="4">
        <v>50.5</v>
      </c>
      <c r="G190" s="4">
        <v>59</v>
      </c>
      <c r="H190" s="4" t="s">
        <v>16</v>
      </c>
    </row>
    <row r="191" spans="1:8">
      <c r="A191" s="8" t="s">
        <v>234</v>
      </c>
      <c r="B191" s="4" t="s">
        <v>233</v>
      </c>
      <c r="C191" s="4" t="s">
        <v>22</v>
      </c>
      <c r="D191" s="4">
        <f>VLOOKUP(A191,[1]Discos!$C$8:$H$253,6,FALSE)</f>
        <v>251</v>
      </c>
      <c r="E191" s="4">
        <v>10</v>
      </c>
      <c r="F191" s="4">
        <v>50.5</v>
      </c>
      <c r="G191" s="4">
        <v>59</v>
      </c>
      <c r="H191" s="4" t="str">
        <f>VLOOKUP(A191,[1]Discos!$C$8:$L$253,10,FALSE)</f>
        <v>4H</v>
      </c>
    </row>
    <row r="192" spans="1:8">
      <c r="A192" s="8">
        <v>82433859</v>
      </c>
      <c r="B192" s="4" t="s">
        <v>233</v>
      </c>
      <c r="C192" s="4" t="s">
        <v>22</v>
      </c>
      <c r="D192" s="4">
        <v>251</v>
      </c>
      <c r="E192" s="4">
        <v>10</v>
      </c>
      <c r="F192" s="4">
        <v>50.5</v>
      </c>
      <c r="G192" s="4">
        <v>59</v>
      </c>
      <c r="H192" s="4" t="s">
        <v>16</v>
      </c>
    </row>
    <row r="193" spans="1:8">
      <c r="A193" s="8" t="s">
        <v>235</v>
      </c>
      <c r="B193" s="4" t="s">
        <v>233</v>
      </c>
      <c r="C193" s="4" t="s">
        <v>22</v>
      </c>
      <c r="D193" s="4">
        <v>251</v>
      </c>
      <c r="E193" s="4">
        <v>10</v>
      </c>
      <c r="F193" s="4">
        <v>50.5</v>
      </c>
      <c r="G193" s="4">
        <v>59</v>
      </c>
      <c r="H193" s="4" t="s">
        <v>16</v>
      </c>
    </row>
    <row r="194" spans="1:8">
      <c r="A194" s="3" t="s">
        <v>236</v>
      </c>
      <c r="B194" s="4" t="s">
        <v>237</v>
      </c>
      <c r="C194" s="4" t="s">
        <v>10</v>
      </c>
      <c r="D194" s="4">
        <v>280</v>
      </c>
      <c r="E194" s="4">
        <v>26</v>
      </c>
      <c r="F194" s="4">
        <v>36</v>
      </c>
      <c r="G194" s="4">
        <v>88</v>
      </c>
      <c r="H194" s="4" t="s">
        <v>120</v>
      </c>
    </row>
    <row r="195" spans="1:8">
      <c r="A195" s="8" t="s">
        <v>238</v>
      </c>
      <c r="B195" s="4" t="s">
        <v>237</v>
      </c>
      <c r="C195" s="4" t="s">
        <v>10</v>
      </c>
      <c r="D195" s="4">
        <f>VLOOKUP(A195,[1]Discos!$C$8:$H$253,6,FALSE)</f>
        <v>280</v>
      </c>
      <c r="E195" s="4">
        <v>26</v>
      </c>
      <c r="F195" s="4">
        <v>36</v>
      </c>
      <c r="G195" s="4">
        <v>88</v>
      </c>
      <c r="H195" s="4" t="str">
        <f>VLOOKUP(A195,[1]Discos!$C$8:$L$253,10,FALSE)</f>
        <v>6H</v>
      </c>
    </row>
    <row r="196" spans="1:8">
      <c r="A196" s="8" t="s">
        <v>239</v>
      </c>
      <c r="B196" s="4" t="s">
        <v>237</v>
      </c>
      <c r="C196" s="4" t="s">
        <v>10</v>
      </c>
      <c r="D196" s="4">
        <v>280</v>
      </c>
      <c r="E196" s="4">
        <v>26</v>
      </c>
      <c r="F196" s="4">
        <v>36</v>
      </c>
      <c r="G196" s="4">
        <v>88</v>
      </c>
      <c r="H196" s="4" t="s">
        <v>120</v>
      </c>
    </row>
    <row r="197" spans="1:8">
      <c r="A197" s="8" t="s">
        <v>240</v>
      </c>
      <c r="B197" s="4" t="s">
        <v>237</v>
      </c>
      <c r="C197" s="4" t="s">
        <v>10</v>
      </c>
      <c r="D197" s="4">
        <v>280</v>
      </c>
      <c r="E197" s="4">
        <v>26</v>
      </c>
      <c r="F197" s="4">
        <v>36</v>
      </c>
      <c r="G197" s="4">
        <v>88</v>
      </c>
      <c r="H197" s="4" t="s">
        <v>120</v>
      </c>
    </row>
    <row r="198" spans="1:8">
      <c r="A198" s="3" t="s">
        <v>241</v>
      </c>
      <c r="B198" s="4" t="s">
        <v>242</v>
      </c>
      <c r="C198" s="4" t="s">
        <v>156</v>
      </c>
      <c r="D198" s="4">
        <v>290</v>
      </c>
      <c r="E198" s="4">
        <v>10</v>
      </c>
      <c r="F198" s="4">
        <v>46</v>
      </c>
      <c r="G198" s="4">
        <v>107</v>
      </c>
      <c r="H198" s="4" t="s">
        <v>11</v>
      </c>
    </row>
    <row r="199" spans="1:8">
      <c r="A199" s="8" t="s">
        <v>243</v>
      </c>
      <c r="B199" s="4" t="s">
        <v>242</v>
      </c>
      <c r="C199" s="4" t="s">
        <v>156</v>
      </c>
      <c r="D199" s="4">
        <f>VLOOKUP(A199,[1]Discos!$C$8:$H$253,6,FALSE)</f>
        <v>290</v>
      </c>
      <c r="E199" s="4">
        <v>10</v>
      </c>
      <c r="F199" s="4">
        <v>46</v>
      </c>
      <c r="G199" s="4">
        <v>107</v>
      </c>
      <c r="H199" s="4" t="str">
        <f>VLOOKUP(A199,[1]Discos!$C$8:$L$253,10,FALSE)</f>
        <v>5H</v>
      </c>
    </row>
    <row r="200" spans="1:8">
      <c r="A200" s="8" t="s">
        <v>244</v>
      </c>
      <c r="B200" s="4" t="s">
        <v>242</v>
      </c>
      <c r="C200" s="4" t="s">
        <v>156</v>
      </c>
      <c r="D200" s="4">
        <v>290</v>
      </c>
      <c r="E200" s="4">
        <v>10</v>
      </c>
      <c r="F200" s="4">
        <v>46</v>
      </c>
      <c r="G200" s="4">
        <v>107</v>
      </c>
      <c r="H200" s="4" t="s">
        <v>11</v>
      </c>
    </row>
    <row r="201" spans="1:8">
      <c r="A201" s="8" t="s">
        <v>245</v>
      </c>
      <c r="B201" s="4" t="s">
        <v>242</v>
      </c>
      <c r="C201" s="4" t="s">
        <v>156</v>
      </c>
      <c r="D201" s="4">
        <v>290</v>
      </c>
      <c r="E201" s="4">
        <v>10</v>
      </c>
      <c r="F201" s="4">
        <v>46</v>
      </c>
      <c r="G201" s="4">
        <v>107</v>
      </c>
      <c r="H201" s="4" t="s">
        <v>11</v>
      </c>
    </row>
    <row r="202" spans="1:8">
      <c r="A202" s="3" t="s">
        <v>246</v>
      </c>
      <c r="B202" s="4" t="s">
        <v>247</v>
      </c>
      <c r="C202" s="4" t="s">
        <v>10</v>
      </c>
      <c r="D202" s="4">
        <v>287</v>
      </c>
      <c r="E202" s="4">
        <v>17</v>
      </c>
      <c r="F202" s="4">
        <v>46</v>
      </c>
      <c r="G202" s="4">
        <v>107</v>
      </c>
      <c r="H202" s="4" t="s">
        <v>11</v>
      </c>
    </row>
    <row r="203" spans="1:8">
      <c r="A203" s="7" t="s">
        <v>248</v>
      </c>
      <c r="B203" s="4" t="s">
        <v>247</v>
      </c>
      <c r="C203" s="4" t="s">
        <v>10</v>
      </c>
      <c r="D203" s="4">
        <f>VLOOKUP(A203,[1]Discos!$C$8:$H$253,6,FALSE)</f>
        <v>287</v>
      </c>
      <c r="E203" s="4">
        <v>17</v>
      </c>
      <c r="F203" s="4">
        <v>46</v>
      </c>
      <c r="G203" s="4">
        <v>107</v>
      </c>
      <c r="H203" s="4" t="str">
        <f>VLOOKUP(A203,[1]Discos!$C$8:$L$253,10,FALSE)</f>
        <v>5H</v>
      </c>
    </row>
    <row r="204" spans="1:8" ht="24">
      <c r="A204" s="6" t="s">
        <v>249</v>
      </c>
      <c r="B204" s="4" t="s">
        <v>247</v>
      </c>
      <c r="C204" s="4" t="s">
        <v>10</v>
      </c>
      <c r="D204" s="4">
        <v>287</v>
      </c>
      <c r="E204" s="4">
        <v>17</v>
      </c>
      <c r="F204" s="4">
        <v>46</v>
      </c>
      <c r="G204" s="4">
        <v>107</v>
      </c>
      <c r="H204" s="4" t="s">
        <v>11</v>
      </c>
    </row>
    <row r="205" spans="1:8">
      <c r="A205" s="6" t="s">
        <v>250</v>
      </c>
      <c r="B205" s="4" t="s">
        <v>247</v>
      </c>
      <c r="C205" s="4" t="s">
        <v>10</v>
      </c>
      <c r="D205" s="4">
        <v>287</v>
      </c>
      <c r="E205" s="4">
        <v>17</v>
      </c>
      <c r="F205" s="4">
        <v>46</v>
      </c>
      <c r="G205" s="4">
        <v>107</v>
      </c>
      <c r="H205" s="4" t="s">
        <v>11</v>
      </c>
    </row>
    <row r="206" spans="1:8">
      <c r="A206" s="3" t="s">
        <v>251</v>
      </c>
      <c r="B206" s="4" t="s">
        <v>252</v>
      </c>
      <c r="C206" s="4" t="s">
        <v>77</v>
      </c>
      <c r="D206" s="4">
        <v>308</v>
      </c>
      <c r="E206" s="4">
        <v>16</v>
      </c>
      <c r="F206" s="4">
        <v>57</v>
      </c>
      <c r="G206" s="4">
        <v>62</v>
      </c>
      <c r="H206" s="4" t="s">
        <v>11</v>
      </c>
    </row>
    <row r="207" spans="1:8">
      <c r="A207" s="8" t="s">
        <v>253</v>
      </c>
      <c r="B207" s="4" t="s">
        <v>252</v>
      </c>
      <c r="C207" s="4" t="s">
        <v>77</v>
      </c>
      <c r="D207" s="4">
        <f>VLOOKUP(A207,[1]Discos!$C$8:$H$253,6,FALSE)</f>
        <v>308</v>
      </c>
      <c r="E207" s="4">
        <v>16</v>
      </c>
      <c r="F207" s="4">
        <v>57</v>
      </c>
      <c r="G207" s="4">
        <v>62</v>
      </c>
      <c r="H207" s="4" t="str">
        <f>VLOOKUP(A207,[1]Discos!$C$8:$L$253,10,FALSE)</f>
        <v>5H</v>
      </c>
    </row>
    <row r="208" spans="1:8">
      <c r="A208" s="8" t="s">
        <v>254</v>
      </c>
      <c r="B208" s="4" t="s">
        <v>252</v>
      </c>
      <c r="C208" s="4" t="s">
        <v>77</v>
      </c>
      <c r="D208" s="4">
        <v>308</v>
      </c>
      <c r="E208" s="4">
        <v>16</v>
      </c>
      <c r="F208" s="4">
        <v>57</v>
      </c>
      <c r="G208" s="4">
        <v>62</v>
      </c>
      <c r="H208" s="4" t="s">
        <v>11</v>
      </c>
    </row>
    <row r="209" spans="1:8">
      <c r="A209" s="8" t="s">
        <v>255</v>
      </c>
      <c r="B209" s="4" t="s">
        <v>252</v>
      </c>
      <c r="C209" s="4" t="s">
        <v>77</v>
      </c>
      <c r="D209" s="4">
        <v>308</v>
      </c>
      <c r="E209" s="4">
        <v>16</v>
      </c>
      <c r="F209" s="4">
        <v>57</v>
      </c>
      <c r="G209" s="4">
        <v>62</v>
      </c>
      <c r="H209" s="4" t="s">
        <v>11</v>
      </c>
    </row>
    <row r="210" spans="1:8">
      <c r="A210" s="3" t="s">
        <v>256</v>
      </c>
      <c r="B210" s="4" t="s">
        <v>257</v>
      </c>
      <c r="C210" s="4" t="s">
        <v>10</v>
      </c>
      <c r="D210" s="4">
        <v>295</v>
      </c>
      <c r="E210" s="4">
        <v>25</v>
      </c>
      <c r="F210" s="4">
        <v>49</v>
      </c>
      <c r="G210" s="4">
        <v>62</v>
      </c>
      <c r="H210" s="4" t="s">
        <v>11</v>
      </c>
    </row>
    <row r="211" spans="1:8">
      <c r="A211" s="8" t="s">
        <v>258</v>
      </c>
      <c r="B211" s="4" t="s">
        <v>257</v>
      </c>
      <c r="C211" s="4" t="s">
        <v>10</v>
      </c>
      <c r="D211" s="4">
        <f>VLOOKUP(A211,[1]Discos!$C$8:$H$253,6,FALSE)</f>
        <v>295</v>
      </c>
      <c r="E211" s="4">
        <v>25</v>
      </c>
      <c r="F211" s="4">
        <v>49</v>
      </c>
      <c r="G211" s="4">
        <v>62</v>
      </c>
      <c r="H211" s="4" t="str">
        <f>VLOOKUP(A211,[1]Discos!$C$8:$L$253,10,FALSE)</f>
        <v>5H</v>
      </c>
    </row>
    <row r="212" spans="1:8">
      <c r="A212" s="8" t="s">
        <v>259</v>
      </c>
      <c r="B212" s="4" t="s">
        <v>257</v>
      </c>
      <c r="C212" s="4" t="s">
        <v>10</v>
      </c>
      <c r="D212" s="4">
        <v>295</v>
      </c>
      <c r="E212" s="4">
        <v>25</v>
      </c>
      <c r="F212" s="4">
        <v>49</v>
      </c>
      <c r="G212" s="4">
        <v>62</v>
      </c>
      <c r="H212" s="4" t="s">
        <v>11</v>
      </c>
    </row>
    <row r="213" spans="1:8">
      <c r="A213" s="8" t="s">
        <v>260</v>
      </c>
      <c r="B213" s="4" t="s">
        <v>257</v>
      </c>
      <c r="C213" s="4" t="s">
        <v>10</v>
      </c>
      <c r="D213" s="4">
        <v>295</v>
      </c>
      <c r="E213" s="4">
        <v>25</v>
      </c>
      <c r="F213" s="4">
        <v>49</v>
      </c>
      <c r="G213" s="4">
        <v>62</v>
      </c>
      <c r="H213" s="4" t="s">
        <v>11</v>
      </c>
    </row>
    <row r="214" spans="1:8">
      <c r="A214" s="3" t="s">
        <v>261</v>
      </c>
      <c r="B214" s="4" t="s">
        <v>262</v>
      </c>
      <c r="C214" s="4" t="s">
        <v>77</v>
      </c>
      <c r="D214" s="4">
        <v>318</v>
      </c>
      <c r="E214" s="4">
        <v>18</v>
      </c>
      <c r="F214" s="4">
        <v>80</v>
      </c>
      <c r="G214" s="4">
        <v>101</v>
      </c>
      <c r="H214" s="4" t="s">
        <v>120</v>
      </c>
    </row>
    <row r="215" spans="1:8">
      <c r="A215" s="8" t="s">
        <v>263</v>
      </c>
      <c r="B215" s="4" t="s">
        <v>262</v>
      </c>
      <c r="C215" s="4" t="s">
        <v>77</v>
      </c>
      <c r="D215" s="4">
        <f>VLOOKUP(A215,[1]Discos!$C$8:$H$253,6,FALSE)</f>
        <v>318</v>
      </c>
      <c r="E215" s="4">
        <v>18</v>
      </c>
      <c r="F215" s="4">
        <v>80</v>
      </c>
      <c r="G215" s="4">
        <v>101</v>
      </c>
      <c r="H215" s="4" t="str">
        <f>VLOOKUP(A215,[1]Discos!$C$8:$L$253,10,FALSE)</f>
        <v>6H</v>
      </c>
    </row>
    <row r="216" spans="1:8">
      <c r="A216" s="8">
        <v>52032731</v>
      </c>
      <c r="B216" s="4" t="s">
        <v>262</v>
      </c>
      <c r="C216" s="4" t="s">
        <v>77</v>
      </c>
      <c r="D216" s="4">
        <v>318</v>
      </c>
      <c r="E216" s="4">
        <v>18</v>
      </c>
      <c r="F216" s="4">
        <v>80</v>
      </c>
      <c r="G216" s="4">
        <v>101</v>
      </c>
      <c r="H216" s="4" t="s">
        <v>120</v>
      </c>
    </row>
    <row r="217" spans="1:8">
      <c r="A217" s="8" t="s">
        <v>264</v>
      </c>
      <c r="B217" s="4" t="s">
        <v>262</v>
      </c>
      <c r="C217" s="4" t="s">
        <v>77</v>
      </c>
      <c r="D217" s="4">
        <v>318</v>
      </c>
      <c r="E217" s="4">
        <v>18</v>
      </c>
      <c r="F217" s="4">
        <v>80</v>
      </c>
      <c r="G217" s="4">
        <v>101</v>
      </c>
      <c r="H217" s="4" t="s">
        <v>120</v>
      </c>
    </row>
    <row r="218" spans="1:8">
      <c r="A218" s="3" t="s">
        <v>265</v>
      </c>
      <c r="B218" s="4" t="s">
        <v>266</v>
      </c>
      <c r="C218" s="4" t="s">
        <v>10</v>
      </c>
      <c r="D218" s="4">
        <v>300</v>
      </c>
      <c r="E218" s="4">
        <v>27</v>
      </c>
      <c r="F218" s="4">
        <v>61.5</v>
      </c>
      <c r="G218" s="4">
        <v>104</v>
      </c>
      <c r="H218" s="4" t="s">
        <v>120</v>
      </c>
    </row>
    <row r="219" spans="1:8">
      <c r="A219" s="8" t="s">
        <v>267</v>
      </c>
      <c r="B219" s="4" t="s">
        <v>266</v>
      </c>
      <c r="C219" s="4" t="s">
        <v>10</v>
      </c>
      <c r="D219" s="4">
        <f>VLOOKUP(A219,[1]Discos!$C$8:$H$253,6,FALSE)</f>
        <v>300</v>
      </c>
      <c r="E219" s="4">
        <v>27</v>
      </c>
      <c r="F219" s="4">
        <v>61.5</v>
      </c>
      <c r="G219" s="4">
        <v>104</v>
      </c>
      <c r="H219" s="4" t="str">
        <f>VLOOKUP(A219,[1]Discos!$C$8:$L$253,10,FALSE)</f>
        <v>6H</v>
      </c>
    </row>
    <row r="220" spans="1:8">
      <c r="A220" s="8">
        <v>52108355</v>
      </c>
      <c r="B220" s="4" t="s">
        <v>266</v>
      </c>
      <c r="C220" s="4" t="s">
        <v>10</v>
      </c>
      <c r="D220" s="4">
        <v>300</v>
      </c>
      <c r="E220" s="4">
        <v>27</v>
      </c>
      <c r="F220" s="4">
        <v>61.5</v>
      </c>
      <c r="G220" s="4">
        <v>104</v>
      </c>
      <c r="H220" s="4" t="s">
        <v>120</v>
      </c>
    </row>
    <row r="221" spans="1:8">
      <c r="A221" s="8" t="s">
        <v>268</v>
      </c>
      <c r="B221" s="4" t="s">
        <v>266</v>
      </c>
      <c r="C221" s="4" t="s">
        <v>10</v>
      </c>
      <c r="D221" s="4">
        <v>300</v>
      </c>
      <c r="E221" s="4">
        <v>27</v>
      </c>
      <c r="F221" s="4">
        <v>61.5</v>
      </c>
      <c r="G221" s="4">
        <v>104</v>
      </c>
      <c r="H221" s="4" t="s">
        <v>120</v>
      </c>
    </row>
    <row r="222" spans="1:8">
      <c r="A222" s="3" t="s">
        <v>269</v>
      </c>
      <c r="B222" s="4" t="s">
        <v>270</v>
      </c>
      <c r="C222" s="4" t="s">
        <v>10</v>
      </c>
      <c r="D222" s="4">
        <v>300</v>
      </c>
      <c r="E222" s="4">
        <v>26</v>
      </c>
      <c r="F222" s="4">
        <v>46</v>
      </c>
      <c r="G222" s="4">
        <v>69</v>
      </c>
      <c r="H222" s="4" t="s">
        <v>11</v>
      </c>
    </row>
    <row r="223" spans="1:8">
      <c r="A223" s="3" t="s">
        <v>271</v>
      </c>
      <c r="B223" s="4" t="s">
        <v>270</v>
      </c>
      <c r="C223" s="4" t="s">
        <v>10</v>
      </c>
      <c r="D223" s="4">
        <f>VLOOKUP(A223,[1]Discos!$C$8:$H$253,6,FALSE)</f>
        <v>300</v>
      </c>
      <c r="E223" s="4">
        <v>26</v>
      </c>
      <c r="F223" s="4">
        <v>46</v>
      </c>
      <c r="G223" s="4">
        <v>69</v>
      </c>
      <c r="H223" s="4" t="str">
        <f>VLOOKUP(A223,[1]Discos!$C$8:$L$253,10,FALSE)</f>
        <v>5H</v>
      </c>
    </row>
    <row r="224" spans="1:8">
      <c r="A224" s="5" t="s">
        <v>272</v>
      </c>
      <c r="B224" s="4" t="s">
        <v>270</v>
      </c>
      <c r="C224" s="4" t="s">
        <v>10</v>
      </c>
      <c r="D224" s="4">
        <v>300</v>
      </c>
      <c r="E224" s="4">
        <v>26</v>
      </c>
      <c r="F224" s="4">
        <v>46</v>
      </c>
      <c r="G224" s="4">
        <v>69</v>
      </c>
      <c r="H224" s="4" t="s">
        <v>11</v>
      </c>
    </row>
    <row r="225" spans="1:8">
      <c r="A225" s="5" t="s">
        <v>273</v>
      </c>
      <c r="B225" s="4" t="s">
        <v>270</v>
      </c>
      <c r="C225" s="4" t="s">
        <v>10</v>
      </c>
      <c r="D225" s="4">
        <v>300</v>
      </c>
      <c r="E225" s="4">
        <v>26</v>
      </c>
      <c r="F225" s="4">
        <v>46</v>
      </c>
      <c r="G225" s="4">
        <v>69</v>
      </c>
      <c r="H225" s="4" t="s">
        <v>11</v>
      </c>
    </row>
    <row r="226" spans="1:8">
      <c r="A226" s="5" t="s">
        <v>274</v>
      </c>
      <c r="B226" s="4" t="s">
        <v>270</v>
      </c>
      <c r="C226" s="4" t="s">
        <v>22</v>
      </c>
      <c r="D226" s="4">
        <v>278</v>
      </c>
      <c r="E226" s="4">
        <v>11</v>
      </c>
      <c r="F226" s="4">
        <v>36.5</v>
      </c>
      <c r="G226" s="4">
        <v>69</v>
      </c>
      <c r="H226" s="4" t="s">
        <v>11</v>
      </c>
    </row>
    <row r="227" spans="1:8">
      <c r="A227" s="3" t="s">
        <v>275</v>
      </c>
      <c r="B227" s="4" t="s">
        <v>276</v>
      </c>
      <c r="C227" s="4" t="s">
        <v>10</v>
      </c>
      <c r="D227" s="4">
        <v>255</v>
      </c>
      <c r="E227" s="4">
        <v>22</v>
      </c>
      <c r="F227" s="4">
        <v>45</v>
      </c>
      <c r="G227" s="4">
        <v>64</v>
      </c>
      <c r="H227" s="4" t="s">
        <v>11</v>
      </c>
    </row>
    <row r="228" spans="1:8">
      <c r="A228" s="3" t="s">
        <v>277</v>
      </c>
      <c r="B228" s="4" t="s">
        <v>276</v>
      </c>
      <c r="C228" s="4" t="s">
        <v>10</v>
      </c>
      <c r="D228" s="4">
        <f>VLOOKUP(A228,[1]Discos!$C$8:$H$253,6,FALSE)</f>
        <v>255</v>
      </c>
      <c r="E228" s="4">
        <v>22</v>
      </c>
      <c r="F228" s="4">
        <v>45</v>
      </c>
      <c r="G228" s="4">
        <v>64</v>
      </c>
      <c r="H228" s="4" t="str">
        <f>VLOOKUP(A228,[1]Discos!$C$8:$L$253,10,FALSE)</f>
        <v>5H</v>
      </c>
    </row>
    <row r="229" spans="1:8">
      <c r="A229" s="5" t="s">
        <v>278</v>
      </c>
      <c r="B229" s="4" t="s">
        <v>276</v>
      </c>
      <c r="C229" s="4" t="s">
        <v>10</v>
      </c>
      <c r="D229" s="4">
        <v>255</v>
      </c>
      <c r="E229" s="4">
        <v>22</v>
      </c>
      <c r="F229" s="4">
        <v>45</v>
      </c>
      <c r="G229" s="4">
        <v>64</v>
      </c>
      <c r="H229" s="4" t="s">
        <v>11</v>
      </c>
    </row>
    <row r="230" spans="1:8">
      <c r="A230" s="3" t="s">
        <v>279</v>
      </c>
      <c r="B230" s="4" t="s">
        <v>280</v>
      </c>
      <c r="C230" s="4" t="s">
        <v>156</v>
      </c>
      <c r="D230" s="4">
        <v>227</v>
      </c>
      <c r="E230" s="4">
        <v>10</v>
      </c>
      <c r="F230" s="4">
        <v>45</v>
      </c>
      <c r="G230" s="4">
        <v>68</v>
      </c>
      <c r="H230" s="4" t="s">
        <v>16</v>
      </c>
    </row>
    <row r="231" spans="1:8">
      <c r="A231" s="3" t="s">
        <v>281</v>
      </c>
      <c r="B231" s="4" t="s">
        <v>280</v>
      </c>
      <c r="C231" s="4" t="s">
        <v>156</v>
      </c>
      <c r="D231" s="4">
        <f>VLOOKUP(A231,[1]Discos!$C$8:$H$253,6,FALSE)</f>
        <v>227</v>
      </c>
      <c r="E231" s="4">
        <v>10</v>
      </c>
      <c r="F231" s="4">
        <v>45</v>
      </c>
      <c r="G231" s="4">
        <v>68</v>
      </c>
      <c r="H231" s="4" t="str">
        <f>VLOOKUP(A231,[1]Discos!$C$8:$L$253,10,FALSE)</f>
        <v>4H</v>
      </c>
    </row>
    <row r="232" spans="1:8">
      <c r="A232" s="5">
        <v>4208311</v>
      </c>
      <c r="B232" s="4" t="s">
        <v>280</v>
      </c>
      <c r="C232" s="4" t="s">
        <v>156</v>
      </c>
      <c r="D232" s="4">
        <v>227</v>
      </c>
      <c r="E232" s="4">
        <v>10</v>
      </c>
      <c r="F232" s="4">
        <v>45</v>
      </c>
      <c r="G232" s="4">
        <v>68</v>
      </c>
      <c r="H232" s="4" t="s">
        <v>16</v>
      </c>
    </row>
    <row r="233" spans="1:8">
      <c r="A233" s="5" t="s">
        <v>282</v>
      </c>
      <c r="B233" s="4" t="s">
        <v>280</v>
      </c>
      <c r="C233" s="4" t="s">
        <v>156</v>
      </c>
      <c r="D233" s="4">
        <v>227</v>
      </c>
      <c r="E233" s="4">
        <v>10</v>
      </c>
      <c r="F233" s="4">
        <v>45</v>
      </c>
      <c r="G233" s="4">
        <v>68</v>
      </c>
      <c r="H233" s="4" t="s">
        <v>16</v>
      </c>
    </row>
    <row r="234" spans="1:8">
      <c r="A234" s="3" t="s">
        <v>283</v>
      </c>
      <c r="B234" s="4" t="s">
        <v>284</v>
      </c>
      <c r="C234" s="4" t="s">
        <v>10</v>
      </c>
      <c r="D234" s="4">
        <v>257</v>
      </c>
      <c r="E234" s="4">
        <v>20</v>
      </c>
      <c r="F234" s="4">
        <v>40.5</v>
      </c>
      <c r="G234" s="4">
        <v>59</v>
      </c>
      <c r="H234" s="4" t="s">
        <v>16</v>
      </c>
    </row>
    <row r="235" spans="1:8">
      <c r="A235" s="3" t="s">
        <v>285</v>
      </c>
      <c r="B235" s="4" t="s">
        <v>284</v>
      </c>
      <c r="C235" s="4" t="s">
        <v>10</v>
      </c>
      <c r="D235" s="4">
        <f>VLOOKUP(A235,[1]Discos!$C$8:$H$253,6,FALSE)</f>
        <v>257</v>
      </c>
      <c r="E235" s="4">
        <v>20</v>
      </c>
      <c r="F235" s="4">
        <v>40.5</v>
      </c>
      <c r="G235" s="4">
        <v>59</v>
      </c>
      <c r="H235" s="4" t="str">
        <f>VLOOKUP(A235,[1]Discos!$C$8:$L$253,10,FALSE)</f>
        <v>4H</v>
      </c>
    </row>
    <row r="236" spans="1:8">
      <c r="A236" s="5">
        <v>46423415</v>
      </c>
      <c r="B236" s="4" t="s">
        <v>284</v>
      </c>
      <c r="C236" s="4" t="s">
        <v>10</v>
      </c>
      <c r="D236" s="4">
        <v>257</v>
      </c>
      <c r="E236" s="4">
        <v>20</v>
      </c>
      <c r="F236" s="4">
        <v>40.5</v>
      </c>
      <c r="G236" s="4">
        <v>59</v>
      </c>
      <c r="H236" s="4" t="s">
        <v>16</v>
      </c>
    </row>
    <row r="237" spans="1:8">
      <c r="A237" s="5" t="s">
        <v>286</v>
      </c>
      <c r="B237" s="4" t="s">
        <v>284</v>
      </c>
      <c r="C237" s="4" t="s">
        <v>10</v>
      </c>
      <c r="D237" s="4">
        <v>257</v>
      </c>
      <c r="E237" s="4">
        <v>20</v>
      </c>
      <c r="F237" s="4">
        <v>40.5</v>
      </c>
      <c r="G237" s="4">
        <v>59</v>
      </c>
      <c r="H237" s="4" t="s">
        <v>16</v>
      </c>
    </row>
    <row r="238" spans="1:8">
      <c r="A238" s="3" t="s">
        <v>287</v>
      </c>
      <c r="B238" s="4" t="s">
        <v>288</v>
      </c>
      <c r="C238" s="4" t="s">
        <v>156</v>
      </c>
      <c r="D238" s="4">
        <v>240</v>
      </c>
      <c r="E238" s="4">
        <v>12</v>
      </c>
      <c r="F238" s="4">
        <v>46.5</v>
      </c>
      <c r="G238" s="4">
        <v>59</v>
      </c>
      <c r="H238" s="4" t="s">
        <v>16</v>
      </c>
    </row>
    <row r="239" spans="1:8">
      <c r="A239" s="3" t="s">
        <v>289</v>
      </c>
      <c r="B239" s="4" t="s">
        <v>288</v>
      </c>
      <c r="C239" s="4" t="s">
        <v>156</v>
      </c>
      <c r="D239" s="4">
        <f>VLOOKUP(A239,[1]Discos!$C$8:$H$253,6,FALSE)</f>
        <v>240</v>
      </c>
      <c r="E239" s="4">
        <v>12</v>
      </c>
      <c r="F239" s="4">
        <v>46.5</v>
      </c>
      <c r="G239" s="4">
        <v>59</v>
      </c>
      <c r="H239" s="4" t="str">
        <f>VLOOKUP(A239,[1]Discos!$C$8:$L$253,10,FALSE)</f>
        <v>4H</v>
      </c>
    </row>
    <row r="240" spans="1:8">
      <c r="A240" s="5">
        <v>5961814</v>
      </c>
      <c r="B240" s="4" t="s">
        <v>288</v>
      </c>
      <c r="C240" s="4" t="s">
        <v>156</v>
      </c>
      <c r="D240" s="4">
        <v>240</v>
      </c>
      <c r="E240" s="4">
        <v>12</v>
      </c>
      <c r="F240" s="4">
        <v>46.5</v>
      </c>
      <c r="G240" s="4">
        <v>59</v>
      </c>
      <c r="H240" s="4" t="s">
        <v>16</v>
      </c>
    </row>
    <row r="241" spans="1:8">
      <c r="A241" s="5" t="s">
        <v>290</v>
      </c>
      <c r="B241" s="4" t="s">
        <v>288</v>
      </c>
      <c r="C241" s="4" t="s">
        <v>156</v>
      </c>
      <c r="D241" s="4">
        <v>240</v>
      </c>
      <c r="E241" s="4">
        <v>12</v>
      </c>
      <c r="F241" s="4">
        <v>46.5</v>
      </c>
      <c r="G241" s="4">
        <v>59</v>
      </c>
      <c r="H241" s="4" t="s">
        <v>16</v>
      </c>
    </row>
    <row r="242" spans="1:8">
      <c r="A242" s="3" t="s">
        <v>291</v>
      </c>
      <c r="B242" s="4" t="s">
        <v>292</v>
      </c>
      <c r="C242" s="4" t="s">
        <v>10</v>
      </c>
      <c r="D242" s="4">
        <v>278</v>
      </c>
      <c r="E242" s="4">
        <v>25</v>
      </c>
      <c r="F242" s="4">
        <v>40</v>
      </c>
      <c r="G242" s="4">
        <v>63.5</v>
      </c>
      <c r="H242" s="4" t="s">
        <v>16</v>
      </c>
    </row>
    <row r="243" spans="1:8">
      <c r="A243" s="5" t="s">
        <v>293</v>
      </c>
      <c r="B243" s="4" t="s">
        <v>292</v>
      </c>
      <c r="C243" s="4" t="s">
        <v>10</v>
      </c>
      <c r="D243" s="4">
        <f>VLOOKUP(A243,[1]Discos!$C$8:$H$253,6,FALSE)</f>
        <v>278</v>
      </c>
      <c r="E243" s="4">
        <v>25</v>
      </c>
      <c r="F243" s="4">
        <v>40</v>
      </c>
      <c r="G243" s="4">
        <v>63.5</v>
      </c>
      <c r="H243" s="4" t="str">
        <f>VLOOKUP(A243,[1]Discos!$C$8:$L$253,10,FALSE)</f>
        <v>4H</v>
      </c>
    </row>
    <row r="244" spans="1:8">
      <c r="A244" s="3" t="s">
        <v>294</v>
      </c>
      <c r="B244" s="4" t="s">
        <v>292</v>
      </c>
      <c r="C244" s="4" t="s">
        <v>10</v>
      </c>
      <c r="D244" s="4">
        <v>278</v>
      </c>
      <c r="E244" s="4">
        <v>25</v>
      </c>
      <c r="F244" s="4">
        <v>40</v>
      </c>
      <c r="G244" s="4">
        <v>63.5</v>
      </c>
      <c r="H244" s="4" t="s">
        <v>16</v>
      </c>
    </row>
    <row r="245" spans="1:8">
      <c r="A245" s="3" t="s">
        <v>295</v>
      </c>
      <c r="B245" s="4" t="s">
        <v>292</v>
      </c>
      <c r="C245" s="4" t="s">
        <v>10</v>
      </c>
      <c r="D245" s="4">
        <v>278</v>
      </c>
      <c r="E245" s="4">
        <v>25</v>
      </c>
      <c r="F245" s="4">
        <v>40</v>
      </c>
      <c r="G245" s="4">
        <v>63.5</v>
      </c>
      <c r="H245" s="4" t="s">
        <v>16</v>
      </c>
    </row>
    <row r="246" spans="1:8">
      <c r="A246" s="3" t="s">
        <v>296</v>
      </c>
      <c r="B246" s="4" t="s">
        <v>297</v>
      </c>
      <c r="C246" s="4" t="s">
        <v>10</v>
      </c>
      <c r="D246" s="4">
        <v>258</v>
      </c>
      <c r="E246" s="4">
        <v>22</v>
      </c>
      <c r="F246" s="4">
        <v>43.5</v>
      </c>
      <c r="G246" s="4">
        <v>63.5</v>
      </c>
      <c r="H246" s="4" t="s">
        <v>16</v>
      </c>
    </row>
    <row r="247" spans="1:8">
      <c r="A247" s="3" t="s">
        <v>298</v>
      </c>
      <c r="B247" s="4" t="s">
        <v>297</v>
      </c>
      <c r="C247" s="4" t="s">
        <v>10</v>
      </c>
      <c r="D247" s="4">
        <f>VLOOKUP(A247,[1]Discos!$C$8:$H$253,6,FALSE)</f>
        <v>258</v>
      </c>
      <c r="E247" s="4">
        <v>22</v>
      </c>
      <c r="F247" s="4">
        <v>43.5</v>
      </c>
      <c r="G247" s="4">
        <v>63.5</v>
      </c>
      <c r="H247" s="4" t="str">
        <f>VLOOKUP(A247,[1]Discos!$C$8:$L$253,10,FALSE)</f>
        <v>4H</v>
      </c>
    </row>
    <row r="248" spans="1:8">
      <c r="A248" s="5">
        <v>1148202</v>
      </c>
      <c r="B248" s="4" t="s">
        <v>297</v>
      </c>
      <c r="C248" s="4" t="s">
        <v>10</v>
      </c>
      <c r="D248" s="4">
        <v>258</v>
      </c>
      <c r="E248" s="4">
        <v>22</v>
      </c>
      <c r="F248" s="4">
        <v>43.5</v>
      </c>
      <c r="G248" s="4">
        <v>63.5</v>
      </c>
      <c r="H248" s="4" t="s">
        <v>16</v>
      </c>
    </row>
    <row r="249" spans="1:8">
      <c r="A249" s="3" t="s">
        <v>299</v>
      </c>
      <c r="B249" s="4" t="s">
        <v>297</v>
      </c>
      <c r="C249" s="4" t="s">
        <v>10</v>
      </c>
      <c r="D249" s="4">
        <v>258</v>
      </c>
      <c r="E249" s="4">
        <v>22</v>
      </c>
      <c r="F249" s="4">
        <v>43.5</v>
      </c>
      <c r="G249" s="4">
        <v>63.5</v>
      </c>
      <c r="H249" s="4" t="s">
        <v>16</v>
      </c>
    </row>
    <row r="250" spans="1:8">
      <c r="A250" s="10" t="s">
        <v>300</v>
      </c>
      <c r="B250" s="4" t="s">
        <v>301</v>
      </c>
      <c r="C250" s="4" t="s">
        <v>22</v>
      </c>
      <c r="D250" s="4">
        <v>330</v>
      </c>
      <c r="E250" s="4">
        <v>11</v>
      </c>
      <c r="F250" s="4">
        <v>39</v>
      </c>
      <c r="G250" s="4">
        <v>68</v>
      </c>
      <c r="H250" s="4" t="s">
        <v>11</v>
      </c>
    </row>
    <row r="251" spans="1:8">
      <c r="A251" s="10" t="s">
        <v>302</v>
      </c>
      <c r="B251" s="4" t="s">
        <v>301</v>
      </c>
      <c r="C251" s="4" t="s">
        <v>10</v>
      </c>
      <c r="D251" s="4">
        <v>320</v>
      </c>
      <c r="E251" s="4">
        <v>28</v>
      </c>
      <c r="F251" s="4">
        <v>48.5</v>
      </c>
      <c r="G251" s="4">
        <v>70</v>
      </c>
      <c r="H251" s="4" t="s">
        <v>11</v>
      </c>
    </row>
    <row r="252" spans="1:8">
      <c r="A252" s="10" t="s">
        <v>303</v>
      </c>
      <c r="B252" s="4" t="s">
        <v>301</v>
      </c>
      <c r="C252" s="4" t="s">
        <v>22</v>
      </c>
      <c r="D252" s="4">
        <f>VLOOKUP(A252,[1]Discos!$C$8:$H$253,6,FALSE)</f>
        <v>330</v>
      </c>
      <c r="E252" s="4">
        <v>11</v>
      </c>
      <c r="F252" s="4">
        <v>39</v>
      </c>
      <c r="G252" s="4">
        <v>68</v>
      </c>
      <c r="H252" s="4" t="str">
        <f>VLOOKUP(A252,[1]Discos!$C$8:$L$253,10,FALSE)</f>
        <v>5H</v>
      </c>
    </row>
    <row r="253" spans="1:8">
      <c r="A253" s="10" t="s">
        <v>304</v>
      </c>
      <c r="B253" s="4" t="s">
        <v>301</v>
      </c>
      <c r="C253" s="4" t="s">
        <v>10</v>
      </c>
      <c r="D253" s="4">
        <f>VLOOKUP(A253,[1]Discos!$C$8:$H$253,6,FALSE)</f>
        <v>320</v>
      </c>
      <c r="E253" s="4">
        <v>28</v>
      </c>
      <c r="F253" s="4">
        <v>48.5</v>
      </c>
      <c r="G253" s="4">
        <v>70</v>
      </c>
      <c r="H253" s="4" t="str">
        <f>VLOOKUP(A253,[1]Discos!$C$8:$L$253,10,FALSE)</f>
        <v>5H</v>
      </c>
    </row>
    <row r="254" spans="1:8">
      <c r="A254" s="11" t="s">
        <v>305</v>
      </c>
      <c r="B254" s="4" t="s">
        <v>301</v>
      </c>
      <c r="C254" s="4" t="s">
        <v>22</v>
      </c>
      <c r="D254" s="4">
        <v>330</v>
      </c>
      <c r="E254" s="4">
        <v>11</v>
      </c>
      <c r="F254" s="4">
        <v>39</v>
      </c>
      <c r="G254" s="4">
        <v>68</v>
      </c>
      <c r="H254" s="4" t="s">
        <v>11</v>
      </c>
    </row>
    <row r="255" spans="1:8">
      <c r="A255" s="11" t="s">
        <v>306</v>
      </c>
      <c r="B255" s="4" t="s">
        <v>301</v>
      </c>
      <c r="C255" s="4" t="s">
        <v>10</v>
      </c>
      <c r="D255" s="4">
        <v>320</v>
      </c>
      <c r="E255" s="4">
        <v>28</v>
      </c>
      <c r="F255" s="4">
        <v>48.5</v>
      </c>
      <c r="G255" s="4">
        <v>70</v>
      </c>
      <c r="H255" s="4" t="s">
        <v>11</v>
      </c>
    </row>
    <row r="256" spans="1:8">
      <c r="A256" s="11" t="s">
        <v>307</v>
      </c>
      <c r="B256" s="4" t="s">
        <v>301</v>
      </c>
      <c r="C256" s="4" t="s">
        <v>22</v>
      </c>
      <c r="D256" s="4">
        <v>330</v>
      </c>
      <c r="E256" s="4">
        <v>11</v>
      </c>
      <c r="F256" s="4">
        <v>39</v>
      </c>
      <c r="G256" s="4">
        <v>68</v>
      </c>
      <c r="H256" s="4" t="s">
        <v>11</v>
      </c>
    </row>
    <row r="257" spans="1:8">
      <c r="A257" s="11" t="s">
        <v>308</v>
      </c>
      <c r="B257" s="4" t="s">
        <v>301</v>
      </c>
      <c r="C257" s="4" t="s">
        <v>10</v>
      </c>
      <c r="D257" s="4">
        <v>320</v>
      </c>
      <c r="E257" s="4">
        <v>28</v>
      </c>
      <c r="F257" s="4">
        <v>48.5</v>
      </c>
      <c r="G257" s="4">
        <v>70</v>
      </c>
      <c r="H257" s="4" t="s">
        <v>11</v>
      </c>
    </row>
    <row r="258" spans="1:8">
      <c r="A258" s="3" t="s">
        <v>309</v>
      </c>
      <c r="B258" s="4" t="s">
        <v>310</v>
      </c>
      <c r="C258" s="4" t="s">
        <v>10</v>
      </c>
      <c r="D258" s="4">
        <v>300</v>
      </c>
      <c r="E258" s="4">
        <v>25</v>
      </c>
      <c r="F258" s="4">
        <v>49</v>
      </c>
      <c r="G258" s="4">
        <v>63.5</v>
      </c>
      <c r="H258" s="4" t="s">
        <v>11</v>
      </c>
    </row>
    <row r="259" spans="1:8">
      <c r="A259" s="5" t="s">
        <v>311</v>
      </c>
      <c r="B259" s="4" t="s">
        <v>310</v>
      </c>
      <c r="C259" s="4" t="s">
        <v>10</v>
      </c>
      <c r="D259" s="4">
        <f>VLOOKUP(A259,[1]Discos!$C$8:$H$253,6,FALSE)</f>
        <v>300</v>
      </c>
      <c r="E259" s="4">
        <v>25</v>
      </c>
      <c r="F259" s="4">
        <v>49</v>
      </c>
      <c r="G259" s="4">
        <v>63.5</v>
      </c>
      <c r="H259" s="4" t="str">
        <f>VLOOKUP(A259,[1]Discos!$C$8:$L$253,10,FALSE)</f>
        <v>5H</v>
      </c>
    </row>
    <row r="260" spans="1:8">
      <c r="A260" s="3" t="s">
        <v>312</v>
      </c>
      <c r="B260" s="4" t="s">
        <v>310</v>
      </c>
      <c r="C260" s="4" t="s">
        <v>10</v>
      </c>
      <c r="D260" s="4">
        <v>300</v>
      </c>
      <c r="E260" s="4">
        <v>25</v>
      </c>
      <c r="F260" s="4">
        <v>49</v>
      </c>
      <c r="G260" s="4">
        <v>63.5</v>
      </c>
      <c r="H260" s="4" t="s">
        <v>11</v>
      </c>
    </row>
    <row r="261" spans="1:8">
      <c r="A261" s="3" t="s">
        <v>313</v>
      </c>
      <c r="B261" s="4" t="s">
        <v>310</v>
      </c>
      <c r="C261" s="4" t="s">
        <v>10</v>
      </c>
      <c r="D261" s="4">
        <v>300</v>
      </c>
      <c r="E261" s="4">
        <v>25</v>
      </c>
      <c r="F261" s="4">
        <v>49</v>
      </c>
      <c r="G261" s="4">
        <v>63.5</v>
      </c>
      <c r="H261" s="4" t="s">
        <v>11</v>
      </c>
    </row>
    <row r="262" spans="1:8">
      <c r="A262" s="3" t="s">
        <v>314</v>
      </c>
      <c r="B262" s="4" t="s">
        <v>315</v>
      </c>
      <c r="C262" s="4" t="s">
        <v>22</v>
      </c>
      <c r="D262" s="4">
        <v>285</v>
      </c>
      <c r="E262" s="4">
        <v>12</v>
      </c>
      <c r="F262" s="4">
        <v>58.3</v>
      </c>
      <c r="G262" s="4">
        <v>70</v>
      </c>
      <c r="H262" s="4" t="s">
        <v>11</v>
      </c>
    </row>
    <row r="263" spans="1:8">
      <c r="A263" s="5" t="s">
        <v>316</v>
      </c>
      <c r="B263" s="4" t="s">
        <v>315</v>
      </c>
      <c r="C263" s="4" t="s">
        <v>22</v>
      </c>
      <c r="D263" s="4">
        <f>VLOOKUP(A263,[1]Discos!$C$8:$H$253,6,FALSE)</f>
        <v>285</v>
      </c>
      <c r="E263" s="4">
        <v>12</v>
      </c>
      <c r="F263" s="4">
        <v>58.3</v>
      </c>
      <c r="G263" s="4">
        <v>70</v>
      </c>
      <c r="H263" s="4" t="str">
        <f>VLOOKUP(A263,[1]Discos!$C$8:$L$253,10,FALSE)</f>
        <v>5H</v>
      </c>
    </row>
    <row r="264" spans="1:8">
      <c r="A264" s="3" t="s">
        <v>317</v>
      </c>
      <c r="B264" s="4" t="s">
        <v>315</v>
      </c>
      <c r="C264" s="4" t="s">
        <v>22</v>
      </c>
      <c r="D264" s="4">
        <v>285</v>
      </c>
      <c r="E264" s="4">
        <v>12</v>
      </c>
      <c r="F264" s="4">
        <v>58.3</v>
      </c>
      <c r="G264" s="4">
        <v>70</v>
      </c>
      <c r="H264" s="4" t="s">
        <v>11</v>
      </c>
    </row>
    <row r="265" spans="1:8">
      <c r="A265" s="3" t="s">
        <v>318</v>
      </c>
      <c r="B265" s="4" t="s">
        <v>315</v>
      </c>
      <c r="C265" s="4" t="s">
        <v>22</v>
      </c>
      <c r="D265" s="4">
        <v>285</v>
      </c>
      <c r="E265" s="4">
        <v>12</v>
      </c>
      <c r="F265" s="4">
        <v>58.3</v>
      </c>
      <c r="G265" s="4">
        <v>70</v>
      </c>
      <c r="H265" s="4" t="s">
        <v>11</v>
      </c>
    </row>
    <row r="266" spans="1:8">
      <c r="A266" s="3" t="s">
        <v>319</v>
      </c>
      <c r="B266" s="4" t="s">
        <v>320</v>
      </c>
      <c r="C266" s="4" t="s">
        <v>10</v>
      </c>
      <c r="D266" s="4">
        <v>325</v>
      </c>
      <c r="E266" s="4">
        <v>30</v>
      </c>
      <c r="F266" s="4">
        <v>47</v>
      </c>
      <c r="G266" s="4">
        <v>68</v>
      </c>
      <c r="H266" s="4" t="s">
        <v>11</v>
      </c>
    </row>
    <row r="267" spans="1:8">
      <c r="A267" s="3" t="s">
        <v>321</v>
      </c>
      <c r="B267" s="4" t="s">
        <v>320</v>
      </c>
      <c r="C267" s="4" t="s">
        <v>77</v>
      </c>
      <c r="D267" s="4">
        <v>345</v>
      </c>
      <c r="E267" s="4">
        <v>20</v>
      </c>
      <c r="F267" s="4">
        <v>39</v>
      </c>
      <c r="G267" s="4">
        <v>68</v>
      </c>
      <c r="H267" s="4" t="s">
        <v>11</v>
      </c>
    </row>
    <row r="268" spans="1:8">
      <c r="A268" s="5" t="s">
        <v>322</v>
      </c>
      <c r="B268" s="4" t="s">
        <v>320</v>
      </c>
      <c r="C268" s="4" t="s">
        <v>10</v>
      </c>
      <c r="D268" s="4">
        <f>VLOOKUP(A268,[1]Discos!$C$8:$H$253,6,FALSE)</f>
        <v>325</v>
      </c>
      <c r="E268" s="4">
        <v>30</v>
      </c>
      <c r="F268" s="4">
        <v>47</v>
      </c>
      <c r="G268" s="4">
        <v>68</v>
      </c>
      <c r="H268" s="4" t="str">
        <f>VLOOKUP(A268,[1]Discos!$C$8:$L$253,10,FALSE)</f>
        <v>5H</v>
      </c>
    </row>
    <row r="269" spans="1:8">
      <c r="A269" s="5" t="s">
        <v>323</v>
      </c>
      <c r="B269" s="4" t="s">
        <v>320</v>
      </c>
      <c r="C269" s="4" t="s">
        <v>77</v>
      </c>
      <c r="D269" s="4">
        <f>VLOOKUP(A269,[1]Discos!$C$8:$H$253,6,FALSE)</f>
        <v>345</v>
      </c>
      <c r="E269" s="4">
        <v>20</v>
      </c>
      <c r="F269" s="4">
        <v>39</v>
      </c>
      <c r="G269" s="4">
        <v>68</v>
      </c>
      <c r="H269" s="4" t="str">
        <f>VLOOKUP(A269,[1]Discos!$C$8:$L$253,10,FALSE)</f>
        <v>5H</v>
      </c>
    </row>
    <row r="270" spans="1:8">
      <c r="A270" s="3" t="s">
        <v>324</v>
      </c>
      <c r="B270" s="4" t="s">
        <v>320</v>
      </c>
      <c r="C270" s="4" t="s">
        <v>10</v>
      </c>
      <c r="D270" s="4">
        <v>325</v>
      </c>
      <c r="E270" s="4">
        <v>30</v>
      </c>
      <c r="F270" s="4">
        <v>47</v>
      </c>
      <c r="G270" s="4">
        <v>68</v>
      </c>
      <c r="H270" s="4" t="s">
        <v>11</v>
      </c>
    </row>
    <row r="271" spans="1:8">
      <c r="A271" s="3" t="s">
        <v>325</v>
      </c>
      <c r="B271" s="4" t="s">
        <v>320</v>
      </c>
      <c r="C271" s="4" t="s">
        <v>10</v>
      </c>
      <c r="D271" s="4">
        <v>325</v>
      </c>
      <c r="E271" s="4">
        <v>30</v>
      </c>
      <c r="F271" s="4">
        <v>47</v>
      </c>
      <c r="G271" s="4">
        <v>68</v>
      </c>
      <c r="H271" s="4" t="s">
        <v>11</v>
      </c>
    </row>
    <row r="272" spans="1:8">
      <c r="A272" s="3" t="s">
        <v>326</v>
      </c>
      <c r="B272" s="4" t="s">
        <v>320</v>
      </c>
      <c r="C272" s="4" t="s">
        <v>77</v>
      </c>
      <c r="D272" s="4">
        <v>345</v>
      </c>
      <c r="E272" s="4">
        <v>20</v>
      </c>
      <c r="F272" s="4">
        <v>39</v>
      </c>
      <c r="G272" s="4">
        <v>68</v>
      </c>
      <c r="H272" s="4" t="s">
        <v>11</v>
      </c>
    </row>
    <row r="273" spans="1:8">
      <c r="A273" s="10" t="s">
        <v>327</v>
      </c>
      <c r="B273" s="4" t="s">
        <v>328</v>
      </c>
      <c r="C273" s="4" t="s">
        <v>77</v>
      </c>
      <c r="D273" s="4">
        <v>348</v>
      </c>
      <c r="E273" s="4">
        <v>25</v>
      </c>
      <c r="F273" s="4">
        <v>80</v>
      </c>
      <c r="G273" s="4">
        <v>90</v>
      </c>
      <c r="H273" s="4" t="s">
        <v>120</v>
      </c>
    </row>
    <row r="274" spans="1:8">
      <c r="A274" s="10" t="s">
        <v>329</v>
      </c>
      <c r="B274" s="4" t="s">
        <v>328</v>
      </c>
      <c r="C274" s="4" t="s">
        <v>77</v>
      </c>
      <c r="D274" s="4">
        <f>VLOOKUP(A274,[1]Discos!$C$8:$H$253,6,FALSE)</f>
        <v>348</v>
      </c>
      <c r="E274" s="4">
        <v>25</v>
      </c>
      <c r="F274" s="4">
        <v>80</v>
      </c>
      <c r="G274" s="4">
        <v>90</v>
      </c>
      <c r="H274" s="4" t="str">
        <f>VLOOKUP(A274,[1]Discos!$C$8:$L$253,10,FALSE)</f>
        <v>6H</v>
      </c>
    </row>
    <row r="275" spans="1:8">
      <c r="A275" s="11" t="s">
        <v>330</v>
      </c>
      <c r="B275" s="4" t="s">
        <v>328</v>
      </c>
      <c r="C275" s="4" t="s">
        <v>77</v>
      </c>
      <c r="D275" s="4">
        <v>348</v>
      </c>
      <c r="E275" s="4">
        <v>25</v>
      </c>
      <c r="F275" s="4">
        <v>80</v>
      </c>
      <c r="G275" s="4">
        <v>90</v>
      </c>
      <c r="H275" s="4" t="s">
        <v>120</v>
      </c>
    </row>
    <row r="276" spans="1:8">
      <c r="A276" s="11" t="s">
        <v>331</v>
      </c>
      <c r="B276" s="4" t="s">
        <v>328</v>
      </c>
      <c r="C276" s="4" t="s">
        <v>77</v>
      </c>
      <c r="D276" s="4">
        <v>348</v>
      </c>
      <c r="E276" s="4">
        <v>25</v>
      </c>
      <c r="F276" s="4">
        <v>80</v>
      </c>
      <c r="G276" s="4">
        <v>90</v>
      </c>
      <c r="H276" s="4" t="s">
        <v>120</v>
      </c>
    </row>
    <row r="277" spans="1:8">
      <c r="A277" s="3" t="s">
        <v>332</v>
      </c>
      <c r="B277" s="4" t="s">
        <v>333</v>
      </c>
      <c r="C277" s="4" t="s">
        <v>156</v>
      </c>
      <c r="D277" s="4">
        <v>219</v>
      </c>
      <c r="E277" s="4">
        <v>13</v>
      </c>
      <c r="F277" s="4">
        <v>37</v>
      </c>
      <c r="G277" s="4">
        <v>75</v>
      </c>
      <c r="H277" s="4" t="s">
        <v>16</v>
      </c>
    </row>
    <row r="278" spans="1:8">
      <c r="A278" s="5" t="s">
        <v>334</v>
      </c>
      <c r="B278" s="4" t="s">
        <v>333</v>
      </c>
      <c r="C278" s="4" t="s">
        <v>156</v>
      </c>
      <c r="D278" s="4">
        <f>VLOOKUP(A278,[1]Discos!$C$8:$H$253,6,FALSE)</f>
        <v>219</v>
      </c>
      <c r="E278" s="4">
        <v>13</v>
      </c>
      <c r="F278" s="4">
        <v>37</v>
      </c>
      <c r="G278" s="4">
        <v>75</v>
      </c>
      <c r="H278" s="4" t="str">
        <f>VLOOKUP(A278,[1]Discos!$C$8:$L$253,10,FALSE)</f>
        <v>4H</v>
      </c>
    </row>
    <row r="279" spans="1:8">
      <c r="A279" s="3" t="s">
        <v>335</v>
      </c>
      <c r="B279" s="4" t="s">
        <v>333</v>
      </c>
      <c r="C279" s="4" t="s">
        <v>156</v>
      </c>
      <c r="D279" s="4">
        <v>219</v>
      </c>
      <c r="E279" s="4">
        <v>13</v>
      </c>
      <c r="F279" s="4">
        <v>37</v>
      </c>
      <c r="G279" s="4">
        <v>75</v>
      </c>
      <c r="H279" s="4" t="s">
        <v>16</v>
      </c>
    </row>
    <row r="280" spans="1:8">
      <c r="A280" s="3" t="s">
        <v>336</v>
      </c>
      <c r="B280" s="4" t="s">
        <v>333</v>
      </c>
      <c r="C280" s="4" t="s">
        <v>156</v>
      </c>
      <c r="D280" s="4">
        <v>219</v>
      </c>
      <c r="E280" s="4">
        <v>13</v>
      </c>
      <c r="F280" s="4">
        <v>37</v>
      </c>
      <c r="G280" s="4">
        <v>75</v>
      </c>
      <c r="H280" s="4" t="s">
        <v>16</v>
      </c>
    </row>
    <row r="281" spans="1:8">
      <c r="A281" s="3" t="s">
        <v>337</v>
      </c>
      <c r="B281" s="4" t="s">
        <v>338</v>
      </c>
      <c r="C281" s="4" t="s">
        <v>10</v>
      </c>
      <c r="D281" s="4">
        <v>239.5</v>
      </c>
      <c r="E281" s="4">
        <v>20</v>
      </c>
      <c r="F281" s="4">
        <v>43</v>
      </c>
      <c r="G281" s="4">
        <v>63.6</v>
      </c>
      <c r="H281" s="4" t="s">
        <v>16</v>
      </c>
    </row>
    <row r="282" spans="1:8">
      <c r="A282" s="5" t="s">
        <v>339</v>
      </c>
      <c r="B282" s="4" t="s">
        <v>338</v>
      </c>
      <c r="C282" s="4" t="s">
        <v>10</v>
      </c>
      <c r="D282" s="4">
        <f>VLOOKUP(A282,[1]Discos!$C$8:$H$253,6,FALSE)</f>
        <v>239.5</v>
      </c>
      <c r="E282" s="4">
        <v>20</v>
      </c>
      <c r="F282" s="4">
        <v>43</v>
      </c>
      <c r="G282" s="4">
        <v>63.6</v>
      </c>
      <c r="H282" s="4" t="str">
        <f>VLOOKUP(A282,[1]Discos!$C$8:$L$253,10,FALSE)</f>
        <v>4H</v>
      </c>
    </row>
    <row r="283" spans="1:8">
      <c r="A283" s="3">
        <v>547615301</v>
      </c>
      <c r="B283" s="4" t="s">
        <v>338</v>
      </c>
      <c r="C283" s="4" t="s">
        <v>10</v>
      </c>
      <c r="D283" s="4">
        <v>239.5</v>
      </c>
      <c r="E283" s="4">
        <v>20</v>
      </c>
      <c r="F283" s="4">
        <v>43</v>
      </c>
      <c r="G283" s="4">
        <v>63.6</v>
      </c>
      <c r="H283" s="4" t="s">
        <v>16</v>
      </c>
    </row>
    <row r="284" spans="1:8">
      <c r="A284" s="3" t="s">
        <v>340</v>
      </c>
      <c r="B284" s="4" t="s">
        <v>338</v>
      </c>
      <c r="C284" s="4" t="s">
        <v>10</v>
      </c>
      <c r="D284" s="4">
        <v>239.5</v>
      </c>
      <c r="E284" s="4">
        <v>20</v>
      </c>
      <c r="F284" s="4">
        <v>43</v>
      </c>
      <c r="G284" s="4">
        <v>63.6</v>
      </c>
      <c r="H284" s="4" t="s">
        <v>16</v>
      </c>
    </row>
    <row r="285" spans="1:8">
      <c r="A285" s="3" t="s">
        <v>341</v>
      </c>
      <c r="B285" s="4" t="s">
        <v>342</v>
      </c>
      <c r="C285" s="4" t="s">
        <v>10</v>
      </c>
      <c r="D285" s="4">
        <v>305</v>
      </c>
      <c r="E285" s="4">
        <v>26</v>
      </c>
      <c r="F285" s="4">
        <v>66</v>
      </c>
      <c r="G285" s="4">
        <v>72</v>
      </c>
      <c r="H285" s="4" t="s">
        <v>11</v>
      </c>
    </row>
    <row r="286" spans="1:8">
      <c r="A286" s="5" t="s">
        <v>343</v>
      </c>
      <c r="B286" s="4" t="s">
        <v>342</v>
      </c>
      <c r="C286" s="4" t="s">
        <v>10</v>
      </c>
      <c r="D286" s="4">
        <f>VLOOKUP(A286,[1]Discos!$C$8:$H$253,6,FALSE)</f>
        <v>305</v>
      </c>
      <c r="E286" s="4">
        <v>26</v>
      </c>
      <c r="F286" s="4">
        <v>66</v>
      </c>
      <c r="G286" s="4">
        <v>72</v>
      </c>
      <c r="H286" s="4" t="str">
        <f>VLOOKUP(A286,[1]Discos!$C$8:$L$253,10,FALSE)</f>
        <v>5H</v>
      </c>
    </row>
    <row r="287" spans="1:8">
      <c r="A287" s="3" t="s">
        <v>344</v>
      </c>
      <c r="B287" s="4" t="s">
        <v>342</v>
      </c>
      <c r="C287" s="4" t="s">
        <v>10</v>
      </c>
      <c r="D287" s="4">
        <v>305</v>
      </c>
      <c r="E287" s="4">
        <v>26</v>
      </c>
      <c r="F287" s="4">
        <v>66</v>
      </c>
      <c r="G287" s="4">
        <v>72</v>
      </c>
      <c r="H287" s="4" t="s">
        <v>11</v>
      </c>
    </row>
    <row r="288" spans="1:8">
      <c r="A288" s="3" t="s">
        <v>345</v>
      </c>
      <c r="B288" s="4" t="s">
        <v>342</v>
      </c>
      <c r="C288" s="4" t="s">
        <v>10</v>
      </c>
      <c r="D288" s="4">
        <v>305</v>
      </c>
      <c r="E288" s="4">
        <v>26</v>
      </c>
      <c r="F288" s="4">
        <v>66</v>
      </c>
      <c r="G288" s="4">
        <v>72</v>
      </c>
      <c r="H288" s="4" t="s">
        <v>11</v>
      </c>
    </row>
    <row r="289" spans="1:8">
      <c r="A289" s="3" t="s">
        <v>346</v>
      </c>
      <c r="B289" s="4" t="s">
        <v>347</v>
      </c>
      <c r="C289" s="4" t="s">
        <v>10</v>
      </c>
      <c r="D289" s="4">
        <v>261</v>
      </c>
      <c r="E289" s="4">
        <v>20</v>
      </c>
      <c r="F289" s="4">
        <v>20</v>
      </c>
      <c r="G289" s="4">
        <v>86</v>
      </c>
      <c r="H289" s="4" t="s">
        <v>120</v>
      </c>
    </row>
    <row r="290" spans="1:8">
      <c r="A290" s="6" t="s">
        <v>348</v>
      </c>
      <c r="B290" s="4" t="s">
        <v>347</v>
      </c>
      <c r="C290" s="4" t="s">
        <v>10</v>
      </c>
      <c r="D290" s="4">
        <f>VLOOKUP(A290,[1]Discos!$C$8:$H$253,6,FALSE)</f>
        <v>261</v>
      </c>
      <c r="E290" s="4">
        <v>20</v>
      </c>
      <c r="F290" s="4">
        <v>20</v>
      </c>
      <c r="G290" s="4">
        <v>86</v>
      </c>
      <c r="H290" s="4" t="str">
        <f>VLOOKUP(A290,[1]Discos!$C$8:$L$253,10,FALSE)</f>
        <v>6H</v>
      </c>
    </row>
    <row r="291" spans="1:8">
      <c r="A291" s="6" t="s">
        <v>349</v>
      </c>
      <c r="B291" s="4" t="s">
        <v>347</v>
      </c>
      <c r="C291" s="4" t="s">
        <v>10</v>
      </c>
      <c r="D291" s="4">
        <v>261</v>
      </c>
      <c r="E291" s="4">
        <v>20</v>
      </c>
      <c r="F291" s="4">
        <v>20</v>
      </c>
      <c r="G291" s="4">
        <v>86</v>
      </c>
      <c r="H291" s="4" t="s">
        <v>120</v>
      </c>
    </row>
    <row r="292" spans="1:8">
      <c r="A292" s="6" t="s">
        <v>350</v>
      </c>
      <c r="B292" s="4" t="s">
        <v>347</v>
      </c>
      <c r="C292" s="4" t="s">
        <v>10</v>
      </c>
      <c r="D292" s="4">
        <v>261</v>
      </c>
      <c r="E292" s="4">
        <v>20</v>
      </c>
      <c r="F292" s="4">
        <v>20</v>
      </c>
      <c r="G292" s="4">
        <v>86</v>
      </c>
      <c r="H292" s="4" t="s">
        <v>120</v>
      </c>
    </row>
    <row r="293" spans="1:8">
      <c r="A293" s="3" t="s">
        <v>351</v>
      </c>
      <c r="B293" s="4" t="s">
        <v>352</v>
      </c>
      <c r="C293" s="4" t="s">
        <v>10</v>
      </c>
      <c r="D293" s="4">
        <v>255</v>
      </c>
      <c r="E293" s="4">
        <v>22</v>
      </c>
      <c r="F293" s="4">
        <v>43</v>
      </c>
      <c r="G293" s="4">
        <v>55</v>
      </c>
      <c r="H293" s="4" t="s">
        <v>16</v>
      </c>
    </row>
    <row r="294" spans="1:8">
      <c r="A294" s="8" t="s">
        <v>353</v>
      </c>
      <c r="B294" s="4" t="s">
        <v>352</v>
      </c>
      <c r="C294" s="4" t="s">
        <v>10</v>
      </c>
      <c r="D294" s="4">
        <f>VLOOKUP(A294,[1]Discos!$C$8:$H$253,6,FALSE)</f>
        <v>255</v>
      </c>
      <c r="E294" s="4">
        <v>22</v>
      </c>
      <c r="F294" s="4">
        <v>43</v>
      </c>
      <c r="G294" s="4">
        <v>55</v>
      </c>
      <c r="H294" s="4" t="str">
        <f>VLOOKUP(A294,[1]Discos!$C$8:$L$253,10,FALSE)</f>
        <v>4H</v>
      </c>
    </row>
    <row r="295" spans="1:8">
      <c r="A295" s="8" t="s">
        <v>354</v>
      </c>
      <c r="B295" s="4" t="s">
        <v>352</v>
      </c>
      <c r="C295" s="4" t="s">
        <v>10</v>
      </c>
      <c r="D295" s="4">
        <v>255</v>
      </c>
      <c r="E295" s="4">
        <v>22</v>
      </c>
      <c r="F295" s="4">
        <v>43</v>
      </c>
      <c r="G295" s="4">
        <v>55</v>
      </c>
      <c r="H295" s="4" t="s">
        <v>16</v>
      </c>
    </row>
    <row r="296" spans="1:8">
      <c r="A296" s="3" t="s">
        <v>355</v>
      </c>
      <c r="B296" s="4" t="s">
        <v>356</v>
      </c>
      <c r="C296" s="4" t="s">
        <v>10</v>
      </c>
      <c r="D296" s="4">
        <v>280</v>
      </c>
      <c r="E296" s="4">
        <v>26</v>
      </c>
      <c r="F296" s="4">
        <v>36</v>
      </c>
      <c r="G296" s="4">
        <v>88</v>
      </c>
      <c r="H296" s="4" t="s">
        <v>120</v>
      </c>
    </row>
    <row r="297" spans="1:8">
      <c r="A297" s="8" t="s">
        <v>357</v>
      </c>
      <c r="B297" s="4" t="s">
        <v>356</v>
      </c>
      <c r="C297" s="4" t="s">
        <v>10</v>
      </c>
      <c r="D297" s="4">
        <f>VLOOKUP(A297,[1]Discos!$C$8:$H$253,6,FALSE)</f>
        <v>280</v>
      </c>
      <c r="E297" s="4">
        <v>26</v>
      </c>
      <c r="F297" s="4">
        <v>36</v>
      </c>
      <c r="G297" s="4">
        <v>88</v>
      </c>
      <c r="H297" s="4" t="str">
        <f>VLOOKUP(A297,[1]Discos!$C$8:$L$253,10,FALSE)</f>
        <v>6H</v>
      </c>
    </row>
    <row r="298" spans="1:8">
      <c r="A298" s="8" t="s">
        <v>358</v>
      </c>
      <c r="B298" s="4" t="s">
        <v>356</v>
      </c>
      <c r="C298" s="4" t="s">
        <v>10</v>
      </c>
      <c r="D298" s="4">
        <v>280</v>
      </c>
      <c r="E298" s="4">
        <v>26</v>
      </c>
      <c r="F298" s="4">
        <v>36</v>
      </c>
      <c r="G298" s="4">
        <v>88</v>
      </c>
      <c r="H298" s="4" t="s">
        <v>120</v>
      </c>
    </row>
    <row r="299" spans="1:8">
      <c r="A299" s="8" t="s">
        <v>359</v>
      </c>
      <c r="B299" s="4" t="s">
        <v>356</v>
      </c>
      <c r="C299" s="4" t="s">
        <v>10</v>
      </c>
      <c r="D299" s="4">
        <v>280</v>
      </c>
      <c r="E299" s="4">
        <v>26</v>
      </c>
      <c r="F299" s="4">
        <v>36</v>
      </c>
      <c r="G299" s="4">
        <v>88</v>
      </c>
      <c r="H299" s="4" t="s">
        <v>120</v>
      </c>
    </row>
    <row r="300" spans="1:8">
      <c r="A300" s="3" t="s">
        <v>360</v>
      </c>
      <c r="B300" s="4" t="s">
        <v>361</v>
      </c>
      <c r="C300" s="4" t="s">
        <v>77</v>
      </c>
      <c r="D300" s="4">
        <v>314</v>
      </c>
      <c r="E300" s="4">
        <v>18</v>
      </c>
      <c r="F300" s="4">
        <v>80</v>
      </c>
      <c r="G300" s="4">
        <v>101</v>
      </c>
      <c r="H300" s="4" t="s">
        <v>120</v>
      </c>
    </row>
    <row r="301" spans="1:8">
      <c r="A301" s="8" t="s">
        <v>362</v>
      </c>
      <c r="B301" s="4" t="s">
        <v>361</v>
      </c>
      <c r="C301" s="4" t="s">
        <v>77</v>
      </c>
      <c r="D301" s="4">
        <v>314</v>
      </c>
      <c r="E301" s="4">
        <v>18</v>
      </c>
      <c r="F301" s="4">
        <v>80</v>
      </c>
      <c r="G301" s="4">
        <v>101</v>
      </c>
      <c r="H301" s="4" t="s">
        <v>120</v>
      </c>
    </row>
    <row r="302" spans="1:8">
      <c r="A302" s="3" t="s">
        <v>363</v>
      </c>
      <c r="B302" s="4" t="s">
        <v>364</v>
      </c>
      <c r="C302" s="4" t="s">
        <v>10</v>
      </c>
      <c r="D302" s="4">
        <v>262</v>
      </c>
      <c r="E302" s="4">
        <v>21</v>
      </c>
      <c r="F302" s="4">
        <v>44.6</v>
      </c>
      <c r="G302" s="4">
        <v>64.2</v>
      </c>
      <c r="H302" s="4" t="s">
        <v>16</v>
      </c>
    </row>
    <row r="303" spans="1:8">
      <c r="A303" s="5" t="s">
        <v>365</v>
      </c>
      <c r="B303" s="4" t="s">
        <v>364</v>
      </c>
      <c r="C303" s="4" t="s">
        <v>10</v>
      </c>
      <c r="D303" s="4">
        <f>VLOOKUP(A303,[1]Discos!$C$8:$H$253,6,FALSE)</f>
        <v>262</v>
      </c>
      <c r="E303" s="4">
        <v>21</v>
      </c>
      <c r="F303" s="4">
        <v>44.6</v>
      </c>
      <c r="G303" s="4">
        <v>64.2</v>
      </c>
      <c r="H303" s="4" t="str">
        <f>VLOOKUP(A303,[1]Discos!$C$8:$L$253,10,FALSE)</f>
        <v>4H</v>
      </c>
    </row>
    <row r="304" spans="1:8">
      <c r="A304" s="5" t="s">
        <v>366</v>
      </c>
      <c r="B304" s="4" t="s">
        <v>364</v>
      </c>
      <c r="C304" s="4" t="s">
        <v>10</v>
      </c>
      <c r="D304" s="4">
        <v>262</v>
      </c>
      <c r="E304" s="4">
        <v>21</v>
      </c>
      <c r="F304" s="4">
        <v>44.6</v>
      </c>
      <c r="G304" s="4">
        <v>64.2</v>
      </c>
      <c r="H304" s="4" t="s">
        <v>16</v>
      </c>
    </row>
    <row r="305" spans="1:8">
      <c r="A305" s="5" t="s">
        <v>367</v>
      </c>
      <c r="B305" s="4" t="s">
        <v>364</v>
      </c>
      <c r="C305" s="4" t="s">
        <v>10</v>
      </c>
      <c r="D305" s="4">
        <v>262</v>
      </c>
      <c r="E305" s="4">
        <v>21</v>
      </c>
      <c r="F305" s="4">
        <v>44.6</v>
      </c>
      <c r="G305" s="4">
        <v>64.2</v>
      </c>
      <c r="H305" s="4" t="s">
        <v>16</v>
      </c>
    </row>
    <row r="306" spans="1:8">
      <c r="A306" s="3" t="s">
        <v>368</v>
      </c>
      <c r="B306" s="4" t="s">
        <v>369</v>
      </c>
      <c r="C306" s="4" t="s">
        <v>22</v>
      </c>
      <c r="D306" s="4">
        <v>305</v>
      </c>
      <c r="E306" s="4">
        <v>9</v>
      </c>
      <c r="F306" s="4">
        <v>61</v>
      </c>
      <c r="G306" s="4">
        <v>64</v>
      </c>
      <c r="H306" s="4" t="s">
        <v>11</v>
      </c>
    </row>
    <row r="307" spans="1:8">
      <c r="A307" s="3" t="s">
        <v>370</v>
      </c>
      <c r="B307" s="4" t="s">
        <v>369</v>
      </c>
      <c r="C307" s="4" t="s">
        <v>10</v>
      </c>
      <c r="D307" s="4">
        <v>296</v>
      </c>
      <c r="E307" s="4">
        <v>28</v>
      </c>
      <c r="F307" s="4">
        <v>47.5</v>
      </c>
      <c r="G307" s="4">
        <v>64</v>
      </c>
      <c r="H307" s="4" t="s">
        <v>11</v>
      </c>
    </row>
    <row r="308" spans="1:8">
      <c r="A308" s="5" t="s">
        <v>371</v>
      </c>
      <c r="B308" s="4" t="s">
        <v>369</v>
      </c>
      <c r="C308" s="4" t="s">
        <v>22</v>
      </c>
      <c r="D308" s="4">
        <f>VLOOKUP(A308,[1]Discos!$C$8:$H$253,6,FALSE)</f>
        <v>305</v>
      </c>
      <c r="E308" s="4">
        <v>9</v>
      </c>
      <c r="F308" s="4">
        <v>61</v>
      </c>
      <c r="G308" s="4">
        <v>64</v>
      </c>
      <c r="H308" s="4" t="str">
        <f>VLOOKUP(A308,[1]Discos!$C$8:$L$253,10,FALSE)</f>
        <v>5H</v>
      </c>
    </row>
    <row r="309" spans="1:8">
      <c r="A309" s="5" t="s">
        <v>372</v>
      </c>
      <c r="B309" s="4" t="s">
        <v>369</v>
      </c>
      <c r="C309" s="4" t="s">
        <v>10</v>
      </c>
      <c r="D309" s="4">
        <f>VLOOKUP(A309,[1]Discos!$C$8:$H$253,6,FALSE)</f>
        <v>296</v>
      </c>
      <c r="E309" s="4">
        <v>28</v>
      </c>
      <c r="F309" s="4">
        <v>47.5</v>
      </c>
      <c r="G309" s="4">
        <v>64</v>
      </c>
      <c r="H309" s="4" t="str">
        <f>VLOOKUP(A309,[1]Discos!$C$8:$L$253,10,FALSE)</f>
        <v>5H</v>
      </c>
    </row>
    <row r="310" spans="1:8">
      <c r="A310" s="5" t="s">
        <v>373</v>
      </c>
      <c r="B310" s="4" t="s">
        <v>369</v>
      </c>
      <c r="C310" s="4" t="s">
        <v>22</v>
      </c>
      <c r="D310" s="4">
        <v>305</v>
      </c>
      <c r="E310" s="4">
        <v>9</v>
      </c>
      <c r="F310" s="4">
        <v>61</v>
      </c>
      <c r="G310" s="4">
        <v>64</v>
      </c>
      <c r="H310" s="4" t="s">
        <v>11</v>
      </c>
    </row>
    <row r="311" spans="1:8">
      <c r="A311" s="5" t="s">
        <v>374</v>
      </c>
      <c r="B311" s="4" t="s">
        <v>369</v>
      </c>
      <c r="C311" s="4" t="s">
        <v>10</v>
      </c>
      <c r="D311" s="4">
        <v>296</v>
      </c>
      <c r="E311" s="4">
        <v>28</v>
      </c>
      <c r="F311" s="4">
        <v>47.5</v>
      </c>
      <c r="G311" s="4">
        <v>64</v>
      </c>
      <c r="H311" s="4" t="s">
        <v>11</v>
      </c>
    </row>
    <row r="312" spans="1:8">
      <c r="A312" s="5" t="s">
        <v>375</v>
      </c>
      <c r="B312" s="4" t="s">
        <v>369</v>
      </c>
      <c r="C312" s="4" t="s">
        <v>22</v>
      </c>
      <c r="D312" s="4">
        <v>305</v>
      </c>
      <c r="E312" s="4">
        <v>9</v>
      </c>
      <c r="F312" s="4">
        <v>61</v>
      </c>
      <c r="G312" s="4">
        <v>64</v>
      </c>
      <c r="H312" s="4" t="s">
        <v>11</v>
      </c>
    </row>
    <row r="313" spans="1:8">
      <c r="A313" s="5" t="s">
        <v>375</v>
      </c>
      <c r="B313" s="4" t="s">
        <v>369</v>
      </c>
      <c r="C313" s="4" t="s">
        <v>22</v>
      </c>
      <c r="D313" s="4">
        <v>305</v>
      </c>
      <c r="E313" s="4">
        <v>9</v>
      </c>
      <c r="F313" s="4">
        <v>61</v>
      </c>
      <c r="G313" s="4">
        <v>64</v>
      </c>
      <c r="H313" s="4" t="s">
        <v>11</v>
      </c>
    </row>
    <row r="314" spans="1:8">
      <c r="A314" s="3" t="s">
        <v>376</v>
      </c>
      <c r="B314" s="4" t="s">
        <v>377</v>
      </c>
      <c r="C314" s="4" t="s">
        <v>10</v>
      </c>
      <c r="D314" s="4">
        <v>241</v>
      </c>
      <c r="E314" s="4">
        <v>19</v>
      </c>
      <c r="F314" s="4">
        <v>52</v>
      </c>
      <c r="G314" s="4">
        <v>63</v>
      </c>
      <c r="H314" s="4" t="s">
        <v>16</v>
      </c>
    </row>
    <row r="315" spans="1:8">
      <c r="A315" s="8" t="s">
        <v>378</v>
      </c>
      <c r="B315" s="4" t="s">
        <v>377</v>
      </c>
      <c r="C315" s="4" t="s">
        <v>10</v>
      </c>
      <c r="D315" s="4">
        <f>VLOOKUP(A315,[1]Discos!$C$8:$H$253,6,FALSE)</f>
        <v>241</v>
      </c>
      <c r="E315" s="4">
        <v>19</v>
      </c>
      <c r="F315" s="4">
        <v>52</v>
      </c>
      <c r="G315" s="4">
        <v>63</v>
      </c>
      <c r="H315" s="4" t="str">
        <f>VLOOKUP(A315,[1]Discos!$C$8:$L$253,10,FALSE)</f>
        <v>4H</v>
      </c>
    </row>
    <row r="316" spans="1:8">
      <c r="A316" s="3">
        <v>5171225060</v>
      </c>
      <c r="B316" s="4" t="s">
        <v>377</v>
      </c>
      <c r="C316" s="4" t="s">
        <v>10</v>
      </c>
      <c r="D316" s="4">
        <v>241</v>
      </c>
      <c r="E316" s="4">
        <v>19</v>
      </c>
      <c r="F316" s="4">
        <v>52</v>
      </c>
      <c r="G316" s="4">
        <v>63</v>
      </c>
      <c r="H316" s="4" t="s">
        <v>16</v>
      </c>
    </row>
    <row r="317" spans="1:8">
      <c r="A317" s="3" t="s">
        <v>379</v>
      </c>
      <c r="B317" s="4" t="s">
        <v>377</v>
      </c>
      <c r="C317" s="4" t="s">
        <v>10</v>
      </c>
      <c r="D317" s="4">
        <v>241</v>
      </c>
      <c r="E317" s="4">
        <v>19</v>
      </c>
      <c r="F317" s="4">
        <v>52</v>
      </c>
      <c r="G317" s="4">
        <v>63</v>
      </c>
      <c r="H317" s="4" t="s">
        <v>16</v>
      </c>
    </row>
    <row r="318" spans="1:8">
      <c r="A318" s="3" t="s">
        <v>380</v>
      </c>
      <c r="B318" s="4" t="s">
        <v>381</v>
      </c>
      <c r="C318" s="4" t="s">
        <v>22</v>
      </c>
      <c r="D318" s="4">
        <v>262</v>
      </c>
      <c r="E318" s="4">
        <v>10</v>
      </c>
      <c r="F318" s="4">
        <v>44</v>
      </c>
      <c r="G318" s="4">
        <v>63</v>
      </c>
      <c r="H318" s="4" t="s">
        <v>16</v>
      </c>
    </row>
    <row r="319" spans="1:8">
      <c r="A319" s="6" t="s">
        <v>382</v>
      </c>
      <c r="B319" s="4" t="s">
        <v>381</v>
      </c>
      <c r="C319" s="4" t="s">
        <v>22</v>
      </c>
      <c r="D319" s="4">
        <f>VLOOKUP(A319,[1]Discos!$C$8:$H$253,6,FALSE)</f>
        <v>262</v>
      </c>
      <c r="E319" s="4">
        <v>10</v>
      </c>
      <c r="F319" s="4">
        <v>44</v>
      </c>
      <c r="G319" s="4">
        <v>63</v>
      </c>
      <c r="H319" s="4" t="str">
        <f>VLOOKUP(A319,[1]Discos!$C$8:$L$253,10,FALSE)</f>
        <v>4H</v>
      </c>
    </row>
    <row r="320" spans="1:8">
      <c r="A320" s="8" t="s">
        <v>383</v>
      </c>
      <c r="B320" s="4" t="s">
        <v>381</v>
      </c>
      <c r="C320" s="4" t="s">
        <v>22</v>
      </c>
      <c r="D320" s="4">
        <v>262</v>
      </c>
      <c r="E320" s="4">
        <v>10</v>
      </c>
      <c r="F320" s="4">
        <v>44</v>
      </c>
      <c r="G320" s="4">
        <v>63</v>
      </c>
      <c r="H320" s="4" t="s">
        <v>16</v>
      </c>
    </row>
    <row r="321" spans="1:8">
      <c r="A321" s="8" t="s">
        <v>384</v>
      </c>
      <c r="B321" s="4" t="s">
        <v>381</v>
      </c>
      <c r="C321" s="4" t="s">
        <v>22</v>
      </c>
      <c r="D321" s="4">
        <v>262</v>
      </c>
      <c r="E321" s="4">
        <v>10</v>
      </c>
      <c r="F321" s="4">
        <v>44</v>
      </c>
      <c r="G321" s="4">
        <v>63</v>
      </c>
      <c r="H321" s="4" t="s">
        <v>16</v>
      </c>
    </row>
    <row r="322" spans="1:8">
      <c r="A322" s="3" t="s">
        <v>385</v>
      </c>
      <c r="B322" s="4" t="s">
        <v>386</v>
      </c>
      <c r="C322" s="4" t="s">
        <v>156</v>
      </c>
      <c r="D322" s="4">
        <v>230</v>
      </c>
      <c r="E322" s="4">
        <v>11</v>
      </c>
      <c r="F322" s="4">
        <v>44</v>
      </c>
      <c r="G322" s="4">
        <v>67</v>
      </c>
      <c r="H322" s="4" t="s">
        <v>16</v>
      </c>
    </row>
    <row r="323" spans="1:8">
      <c r="A323" s="6" t="s">
        <v>387</v>
      </c>
      <c r="B323" s="4" t="s">
        <v>386</v>
      </c>
      <c r="C323" s="4" t="s">
        <v>156</v>
      </c>
      <c r="D323" s="4">
        <f>VLOOKUP(A323,[1]Discos!$C$8:$H$253,6,FALSE)</f>
        <v>230</v>
      </c>
      <c r="E323" s="4">
        <v>11</v>
      </c>
      <c r="F323" s="4">
        <v>44</v>
      </c>
      <c r="G323" s="4">
        <v>67</v>
      </c>
      <c r="H323" s="4" t="str">
        <f>VLOOKUP(A323,[1]Discos!$C$8:$L$253,10,FALSE)</f>
        <v>4H</v>
      </c>
    </row>
    <row r="324" spans="1:8">
      <c r="A324" s="6" t="s">
        <v>388</v>
      </c>
      <c r="B324" s="4" t="s">
        <v>386</v>
      </c>
      <c r="C324" s="4" t="s">
        <v>156</v>
      </c>
      <c r="D324" s="4">
        <v>230</v>
      </c>
      <c r="E324" s="4">
        <v>11</v>
      </c>
      <c r="F324" s="4">
        <v>44</v>
      </c>
      <c r="G324" s="4">
        <v>67</v>
      </c>
      <c r="H324" s="4" t="s">
        <v>16</v>
      </c>
    </row>
    <row r="325" spans="1:8">
      <c r="A325" s="6" t="s">
        <v>389</v>
      </c>
      <c r="B325" s="4" t="s">
        <v>386</v>
      </c>
      <c r="C325" s="4" t="s">
        <v>156</v>
      </c>
      <c r="D325" s="4">
        <v>230</v>
      </c>
      <c r="E325" s="4">
        <v>11</v>
      </c>
      <c r="F325" s="4">
        <v>44</v>
      </c>
      <c r="G325" s="4">
        <v>67</v>
      </c>
      <c r="H325" s="4" t="s">
        <v>16</v>
      </c>
    </row>
    <row r="326" spans="1:8">
      <c r="A326" s="3" t="s">
        <v>390</v>
      </c>
      <c r="B326" s="4" t="s">
        <v>391</v>
      </c>
      <c r="C326" s="4" t="s">
        <v>10</v>
      </c>
      <c r="D326" s="4">
        <v>234</v>
      </c>
      <c r="E326" s="4">
        <v>18</v>
      </c>
      <c r="F326" s="4">
        <v>51</v>
      </c>
      <c r="G326" s="4">
        <v>63.5</v>
      </c>
      <c r="H326" s="4" t="s">
        <v>16</v>
      </c>
    </row>
    <row r="327" spans="1:8">
      <c r="A327" s="6" t="s">
        <v>392</v>
      </c>
      <c r="B327" s="4" t="s">
        <v>391</v>
      </c>
      <c r="C327" s="4" t="s">
        <v>10</v>
      </c>
      <c r="D327" s="4">
        <f>VLOOKUP(A327,[1]Discos!$C$8:$H$253,6,FALSE)</f>
        <v>234</v>
      </c>
      <c r="E327" s="4">
        <v>18</v>
      </c>
      <c r="F327" s="4">
        <v>51</v>
      </c>
      <c r="G327" s="4">
        <v>63.5</v>
      </c>
      <c r="H327" s="4" t="str">
        <f>VLOOKUP(A327,[1]Discos!$C$8:$L$253,10,FALSE)</f>
        <v>4H</v>
      </c>
    </row>
    <row r="328" spans="1:8" ht="24">
      <c r="A328" s="6" t="s">
        <v>393</v>
      </c>
      <c r="B328" s="4" t="s">
        <v>391</v>
      </c>
      <c r="C328" s="4" t="s">
        <v>10</v>
      </c>
      <c r="D328" s="4">
        <v>234</v>
      </c>
      <c r="E328" s="4">
        <v>18</v>
      </c>
      <c r="F328" s="4">
        <v>51</v>
      </c>
      <c r="G328" s="4">
        <v>63.5</v>
      </c>
      <c r="H328" s="4" t="s">
        <v>16</v>
      </c>
    </row>
    <row r="329" spans="1:8">
      <c r="A329" s="6" t="s">
        <v>394</v>
      </c>
      <c r="B329" s="4" t="s">
        <v>391</v>
      </c>
      <c r="C329" s="4" t="s">
        <v>10</v>
      </c>
      <c r="D329" s="4">
        <v>234</v>
      </c>
      <c r="E329" s="4">
        <v>18</v>
      </c>
      <c r="F329" s="4">
        <v>51</v>
      </c>
      <c r="G329" s="4">
        <v>63.5</v>
      </c>
      <c r="H329" s="4" t="s">
        <v>16</v>
      </c>
    </row>
    <row r="330" spans="1:8">
      <c r="A330" s="3" t="s">
        <v>395</v>
      </c>
      <c r="B330" s="4" t="s">
        <v>396</v>
      </c>
      <c r="C330" s="4" t="s">
        <v>10</v>
      </c>
      <c r="D330" s="4">
        <v>275</v>
      </c>
      <c r="E330" s="4">
        <v>26</v>
      </c>
      <c r="F330" s="4">
        <v>47.5</v>
      </c>
      <c r="G330" s="4">
        <v>69</v>
      </c>
      <c r="H330" s="4" t="s">
        <v>16</v>
      </c>
    </row>
    <row r="331" spans="1:8">
      <c r="A331" s="8" t="s">
        <v>397</v>
      </c>
      <c r="B331" s="4" t="s">
        <v>396</v>
      </c>
      <c r="C331" s="4" t="s">
        <v>10</v>
      </c>
      <c r="D331" s="4">
        <f>VLOOKUP(A331,[1]Discos!$C$8:$H$253,6,FALSE)</f>
        <v>275</v>
      </c>
      <c r="E331" s="4">
        <v>26</v>
      </c>
      <c r="F331" s="4">
        <v>47.5</v>
      </c>
      <c r="G331" s="4">
        <v>69</v>
      </c>
      <c r="H331" s="4" t="str">
        <f>VLOOKUP(A331,[1]Discos!$C$8:$L$253,10,FALSE)</f>
        <v>4H</v>
      </c>
    </row>
    <row r="332" spans="1:8">
      <c r="A332" s="8" t="s">
        <v>398</v>
      </c>
      <c r="B332" s="4" t="s">
        <v>396</v>
      </c>
      <c r="C332" s="4" t="s">
        <v>10</v>
      </c>
      <c r="D332" s="4">
        <v>275</v>
      </c>
      <c r="E332" s="4">
        <v>26</v>
      </c>
      <c r="F332" s="4">
        <v>47.5</v>
      </c>
      <c r="G332" s="4">
        <v>69</v>
      </c>
      <c r="H332" s="4" t="s">
        <v>16</v>
      </c>
    </row>
    <row r="333" spans="1:8">
      <c r="A333" s="8" t="s">
        <v>399</v>
      </c>
      <c r="B333" s="4" t="s">
        <v>396</v>
      </c>
      <c r="C333" s="4" t="s">
        <v>10</v>
      </c>
      <c r="D333" s="4">
        <v>275</v>
      </c>
      <c r="E333" s="4">
        <v>26</v>
      </c>
      <c r="F333" s="4">
        <v>47.5</v>
      </c>
      <c r="G333" s="4">
        <v>69</v>
      </c>
      <c r="H333" s="4" t="s">
        <v>16</v>
      </c>
    </row>
    <row r="334" spans="1:8">
      <c r="A334" s="3" t="s">
        <v>400</v>
      </c>
      <c r="B334" s="4" t="s">
        <v>401</v>
      </c>
      <c r="C334" s="4" t="s">
        <v>10</v>
      </c>
      <c r="D334" s="4">
        <v>257</v>
      </c>
      <c r="E334" s="4">
        <v>22</v>
      </c>
      <c r="F334" s="4">
        <v>34</v>
      </c>
      <c r="G334" s="4">
        <v>86</v>
      </c>
      <c r="H334" s="4" t="s">
        <v>16</v>
      </c>
    </row>
    <row r="335" spans="1:8">
      <c r="A335" s="6" t="s">
        <v>402</v>
      </c>
      <c r="B335" s="4" t="s">
        <v>401</v>
      </c>
      <c r="C335" s="4" t="s">
        <v>10</v>
      </c>
      <c r="D335" s="4">
        <f>VLOOKUP(A335,[1]Discos!$C$8:$H$253,6,FALSE)</f>
        <v>257</v>
      </c>
      <c r="E335" s="4">
        <v>22</v>
      </c>
      <c r="F335" s="4">
        <v>34</v>
      </c>
      <c r="G335" s="4">
        <v>86</v>
      </c>
      <c r="H335" s="4" t="str">
        <f>VLOOKUP(A335,[1]Discos!$C$8:$L$253,10,FALSE)</f>
        <v>4H</v>
      </c>
    </row>
    <row r="336" spans="1:8">
      <c r="A336" s="8">
        <v>5171228300</v>
      </c>
      <c r="B336" s="4" t="s">
        <v>401</v>
      </c>
      <c r="C336" s="4" t="s">
        <v>10</v>
      </c>
      <c r="D336" s="4">
        <v>257</v>
      </c>
      <c r="E336" s="4">
        <v>22</v>
      </c>
      <c r="F336" s="4">
        <v>34</v>
      </c>
      <c r="G336" s="4">
        <v>86</v>
      </c>
      <c r="H336" s="4" t="s">
        <v>16</v>
      </c>
    </row>
    <row r="337" spans="1:8">
      <c r="A337" s="8" t="s">
        <v>403</v>
      </c>
      <c r="B337" s="4" t="s">
        <v>401</v>
      </c>
      <c r="C337" s="4" t="s">
        <v>10</v>
      </c>
      <c r="D337" s="4">
        <v>257</v>
      </c>
      <c r="E337" s="4">
        <v>22</v>
      </c>
      <c r="F337" s="4">
        <v>34</v>
      </c>
      <c r="G337" s="4">
        <v>86</v>
      </c>
      <c r="H337" s="4" t="s">
        <v>16</v>
      </c>
    </row>
    <row r="338" spans="1:8">
      <c r="A338" s="3" t="s">
        <v>404</v>
      </c>
      <c r="B338" s="4" t="s">
        <v>405</v>
      </c>
      <c r="C338" s="4" t="s">
        <v>10</v>
      </c>
      <c r="D338" s="4">
        <v>280</v>
      </c>
      <c r="E338" s="4">
        <v>23</v>
      </c>
      <c r="F338" s="4">
        <v>44.5</v>
      </c>
      <c r="G338" s="4">
        <v>69</v>
      </c>
      <c r="H338" s="4" t="s">
        <v>11</v>
      </c>
    </row>
    <row r="339" spans="1:8">
      <c r="A339" s="6" t="s">
        <v>406</v>
      </c>
      <c r="B339" s="4" t="s">
        <v>405</v>
      </c>
      <c r="C339" s="4" t="s">
        <v>10</v>
      </c>
      <c r="D339" s="4">
        <f>VLOOKUP(A339,[1]Discos!$C$8:$H$253,6,FALSE)</f>
        <v>280</v>
      </c>
      <c r="E339" s="4">
        <v>23</v>
      </c>
      <c r="F339" s="4">
        <v>44.5</v>
      </c>
      <c r="G339" s="4">
        <v>69</v>
      </c>
      <c r="H339" s="4" t="str">
        <f>VLOOKUP(A339,[1]Discos!$C$8:$L$253,10,FALSE)</f>
        <v>5H</v>
      </c>
    </row>
    <row r="340" spans="1:8">
      <c r="A340" s="8" t="s">
        <v>407</v>
      </c>
      <c r="B340" s="4" t="s">
        <v>405</v>
      </c>
      <c r="C340" s="4" t="s">
        <v>10</v>
      </c>
      <c r="D340" s="4">
        <v>280</v>
      </c>
      <c r="E340" s="4">
        <v>23</v>
      </c>
      <c r="F340" s="4">
        <v>44.5</v>
      </c>
      <c r="G340" s="4">
        <v>69</v>
      </c>
      <c r="H340" s="4" t="s">
        <v>11</v>
      </c>
    </row>
    <row r="341" spans="1:8">
      <c r="A341" s="8" t="s">
        <v>408</v>
      </c>
      <c r="B341" s="4" t="s">
        <v>405</v>
      </c>
      <c r="C341" s="4" t="s">
        <v>10</v>
      </c>
      <c r="D341" s="4">
        <v>280</v>
      </c>
      <c r="E341" s="4">
        <v>23</v>
      </c>
      <c r="F341" s="4">
        <v>44.5</v>
      </c>
      <c r="G341" s="4">
        <v>69</v>
      </c>
      <c r="H341" s="4" t="s">
        <v>11</v>
      </c>
    </row>
    <row r="342" spans="1:8">
      <c r="A342" s="3" t="s">
        <v>409</v>
      </c>
      <c r="B342" s="4" t="s">
        <v>410</v>
      </c>
      <c r="C342" s="4" t="s">
        <v>22</v>
      </c>
      <c r="D342" s="4">
        <v>262</v>
      </c>
      <c r="E342" s="4">
        <v>10</v>
      </c>
      <c r="F342" s="4">
        <v>45</v>
      </c>
      <c r="G342" s="4">
        <v>76</v>
      </c>
      <c r="H342" s="4" t="s">
        <v>11</v>
      </c>
    </row>
    <row r="343" spans="1:8">
      <c r="A343" s="6" t="s">
        <v>411</v>
      </c>
      <c r="B343" s="4" t="s">
        <v>410</v>
      </c>
      <c r="C343" s="4" t="s">
        <v>22</v>
      </c>
      <c r="D343" s="4">
        <f>VLOOKUP(A343,[1]Discos!$C$8:$H$253,6,FALSE)</f>
        <v>262</v>
      </c>
      <c r="E343" s="4">
        <v>10</v>
      </c>
      <c r="F343" s="4">
        <v>45</v>
      </c>
      <c r="G343" s="4">
        <v>76</v>
      </c>
      <c r="H343" s="4" t="str">
        <f>VLOOKUP(A343,[1]Discos!$C$8:$L$253,10,FALSE)</f>
        <v>5H</v>
      </c>
    </row>
    <row r="344" spans="1:8">
      <c r="A344" s="8" t="s">
        <v>412</v>
      </c>
      <c r="B344" s="4" t="s">
        <v>410</v>
      </c>
      <c r="C344" s="4" t="s">
        <v>22</v>
      </c>
      <c r="D344" s="4">
        <v>262</v>
      </c>
      <c r="E344" s="4">
        <v>10</v>
      </c>
      <c r="F344" s="4">
        <v>45</v>
      </c>
      <c r="G344" s="4">
        <v>76</v>
      </c>
      <c r="H344" s="4" t="s">
        <v>11</v>
      </c>
    </row>
    <row r="345" spans="1:8">
      <c r="A345" s="8" t="s">
        <v>413</v>
      </c>
      <c r="B345" s="4" t="s">
        <v>410</v>
      </c>
      <c r="C345" s="4" t="s">
        <v>22</v>
      </c>
      <c r="D345" s="4">
        <v>262</v>
      </c>
      <c r="E345" s="4">
        <v>10</v>
      </c>
      <c r="F345" s="4">
        <v>45</v>
      </c>
      <c r="G345" s="4">
        <v>76</v>
      </c>
      <c r="H345" s="4" t="s">
        <v>11</v>
      </c>
    </row>
    <row r="346" spans="1:8">
      <c r="A346" s="3" t="s">
        <v>414</v>
      </c>
      <c r="B346" s="4" t="s">
        <v>415</v>
      </c>
      <c r="C346" s="4" t="s">
        <v>10</v>
      </c>
      <c r="D346" s="4">
        <v>241</v>
      </c>
      <c r="E346" s="4">
        <v>19</v>
      </c>
      <c r="F346" s="4">
        <v>48</v>
      </c>
      <c r="G346" s="4">
        <v>62.52</v>
      </c>
      <c r="H346" s="4" t="s">
        <v>16</v>
      </c>
    </row>
    <row r="347" spans="1:8">
      <c r="A347" s="8" t="s">
        <v>416</v>
      </c>
      <c r="B347" s="4" t="s">
        <v>415</v>
      </c>
      <c r="C347" s="4" t="s">
        <v>10</v>
      </c>
      <c r="D347" s="4">
        <f>VLOOKUP(A347,[1]Discos!$C$8:$H$253,6,FALSE)</f>
        <v>241</v>
      </c>
      <c r="E347" s="4">
        <v>19</v>
      </c>
      <c r="F347" s="4">
        <v>48</v>
      </c>
      <c r="G347" s="4">
        <v>62.52</v>
      </c>
      <c r="H347" s="4" t="str">
        <f>VLOOKUP(A347,[1]Discos!$C$8:$L$253,10,FALSE)</f>
        <v>4H</v>
      </c>
    </row>
    <row r="348" spans="1:8">
      <c r="A348" s="3" t="s">
        <v>417</v>
      </c>
      <c r="B348" s="4" t="s">
        <v>415</v>
      </c>
      <c r="C348" s="4" t="s">
        <v>10</v>
      </c>
      <c r="D348" s="4">
        <v>241</v>
      </c>
      <c r="E348" s="4">
        <v>19</v>
      </c>
      <c r="F348" s="4">
        <v>48</v>
      </c>
      <c r="G348" s="4">
        <v>62.52</v>
      </c>
      <c r="H348" s="4" t="s">
        <v>16</v>
      </c>
    </row>
    <row r="349" spans="1:8">
      <c r="A349" s="3" t="s">
        <v>418</v>
      </c>
      <c r="B349" s="4" t="s">
        <v>419</v>
      </c>
      <c r="C349" s="4" t="s">
        <v>10</v>
      </c>
      <c r="D349" s="4">
        <v>252</v>
      </c>
      <c r="E349" s="4">
        <v>18</v>
      </c>
      <c r="F349" s="4">
        <v>49</v>
      </c>
      <c r="G349" s="4">
        <v>62</v>
      </c>
      <c r="H349" s="4" t="s">
        <v>16</v>
      </c>
    </row>
    <row r="350" spans="1:8">
      <c r="A350" s="6" t="s">
        <v>420</v>
      </c>
      <c r="B350" s="4" t="s">
        <v>419</v>
      </c>
      <c r="C350" s="4" t="s">
        <v>10</v>
      </c>
      <c r="D350" s="4">
        <f>VLOOKUP(A350,[1]Discos!$C$8:$H$253,6,FALSE)</f>
        <v>252</v>
      </c>
      <c r="E350" s="4">
        <v>18</v>
      </c>
      <c r="F350" s="4">
        <v>49</v>
      </c>
      <c r="G350" s="4">
        <v>62</v>
      </c>
      <c r="H350" s="4" t="str">
        <f>VLOOKUP(A350,[1]Discos!$C$8:$L$253,10,FALSE)</f>
        <v>4H</v>
      </c>
    </row>
    <row r="351" spans="1:8">
      <c r="A351" s="3" t="s">
        <v>421</v>
      </c>
      <c r="B351" s="4" t="s">
        <v>422</v>
      </c>
      <c r="C351" s="4" t="s">
        <v>10</v>
      </c>
      <c r="D351" s="4">
        <v>254</v>
      </c>
      <c r="E351" s="4">
        <v>24</v>
      </c>
      <c r="F351" s="4">
        <v>40</v>
      </c>
      <c r="G351" s="4">
        <v>87</v>
      </c>
      <c r="H351" s="4" t="s">
        <v>11</v>
      </c>
    </row>
    <row r="352" spans="1:8">
      <c r="A352" s="8" t="s">
        <v>423</v>
      </c>
      <c r="B352" s="4" t="s">
        <v>422</v>
      </c>
      <c r="C352" s="4" t="s">
        <v>10</v>
      </c>
      <c r="D352" s="4">
        <f>VLOOKUP(A352,[1]Discos!$C$8:$H$253,6,FALSE)</f>
        <v>254</v>
      </c>
      <c r="E352" s="4">
        <v>24</v>
      </c>
      <c r="F352" s="4">
        <v>40</v>
      </c>
      <c r="G352" s="4">
        <v>87</v>
      </c>
      <c r="H352" s="4" t="str">
        <f>VLOOKUP(A352,[1]Discos!$C$8:$L$253,10,FALSE)</f>
        <v>5H</v>
      </c>
    </row>
    <row r="353" spans="1:8">
      <c r="A353" s="3" t="s">
        <v>424</v>
      </c>
      <c r="B353" s="4" t="s">
        <v>422</v>
      </c>
      <c r="C353" s="4" t="s">
        <v>10</v>
      </c>
      <c r="D353" s="4">
        <v>254</v>
      </c>
      <c r="E353" s="4">
        <v>24</v>
      </c>
      <c r="F353" s="4">
        <v>40</v>
      </c>
      <c r="G353" s="4">
        <v>87</v>
      </c>
      <c r="H353" s="4" t="s">
        <v>11</v>
      </c>
    </row>
    <row r="354" spans="1:8">
      <c r="A354" s="3" t="s">
        <v>425</v>
      </c>
      <c r="B354" s="4" t="s">
        <v>422</v>
      </c>
      <c r="C354" s="4" t="s">
        <v>10</v>
      </c>
      <c r="D354" s="4">
        <v>254</v>
      </c>
      <c r="E354" s="4">
        <v>24</v>
      </c>
      <c r="F354" s="4">
        <v>40</v>
      </c>
      <c r="G354" s="4">
        <v>87</v>
      </c>
      <c r="H354" s="4" t="s">
        <v>11</v>
      </c>
    </row>
    <row r="355" spans="1:8">
      <c r="A355" s="3" t="s">
        <v>426</v>
      </c>
      <c r="B355" s="4" t="s">
        <v>427</v>
      </c>
      <c r="C355" s="4" t="s">
        <v>10</v>
      </c>
      <c r="D355" s="4">
        <v>300</v>
      </c>
      <c r="E355" s="4">
        <v>30</v>
      </c>
      <c r="F355" s="4">
        <v>52.5</v>
      </c>
      <c r="G355" s="4">
        <v>96.3</v>
      </c>
      <c r="H355" s="4" t="s">
        <v>120</v>
      </c>
    </row>
    <row r="356" spans="1:8">
      <c r="A356" s="8" t="s">
        <v>428</v>
      </c>
      <c r="B356" s="4" t="s">
        <v>427</v>
      </c>
      <c r="C356" s="4" t="s">
        <v>10</v>
      </c>
      <c r="D356" s="4">
        <f>VLOOKUP(A356,[1]Discos!$C$8:$H$253,6,FALSE)</f>
        <v>300</v>
      </c>
      <c r="E356" s="4">
        <v>30</v>
      </c>
      <c r="F356" s="4">
        <v>52.5</v>
      </c>
      <c r="G356" s="4">
        <v>96.3</v>
      </c>
      <c r="H356" s="4" t="str">
        <f>VLOOKUP(A356,[1]Discos!$C$8:$L$253,10,FALSE)</f>
        <v>6H</v>
      </c>
    </row>
    <row r="357" spans="1:8">
      <c r="A357" s="3" t="s">
        <v>429</v>
      </c>
      <c r="B357" s="4" t="s">
        <v>427</v>
      </c>
      <c r="C357" s="4" t="s">
        <v>10</v>
      </c>
      <c r="D357" s="4">
        <v>300</v>
      </c>
      <c r="E357" s="4">
        <v>30</v>
      </c>
      <c r="F357" s="4">
        <v>52.5</v>
      </c>
      <c r="G357" s="4">
        <v>96.3</v>
      </c>
      <c r="H357" s="4" t="s">
        <v>120</v>
      </c>
    </row>
    <row r="358" spans="1:8">
      <c r="A358" s="3" t="s">
        <v>430</v>
      </c>
      <c r="B358" s="4" t="s">
        <v>427</v>
      </c>
      <c r="C358" s="4" t="s">
        <v>10</v>
      </c>
      <c r="D358" s="4">
        <v>300</v>
      </c>
      <c r="E358" s="4">
        <v>30</v>
      </c>
      <c r="F358" s="4">
        <v>52.5</v>
      </c>
      <c r="G358" s="4">
        <v>96.3</v>
      </c>
      <c r="H358" s="4" t="s">
        <v>120</v>
      </c>
    </row>
    <row r="359" spans="1:8">
      <c r="A359" s="3" t="s">
        <v>431</v>
      </c>
      <c r="B359" s="4" t="s">
        <v>432</v>
      </c>
      <c r="C359" s="4" t="s">
        <v>10</v>
      </c>
      <c r="D359" s="4">
        <v>253</v>
      </c>
      <c r="E359" s="4">
        <v>20</v>
      </c>
      <c r="F359" s="4">
        <v>29</v>
      </c>
      <c r="G359" s="4">
        <v>84</v>
      </c>
      <c r="H359" s="4" t="s">
        <v>11</v>
      </c>
    </row>
    <row r="360" spans="1:8">
      <c r="A360" s="6" t="s">
        <v>433</v>
      </c>
      <c r="B360" s="4" t="s">
        <v>432</v>
      </c>
      <c r="C360" s="4" t="s">
        <v>10</v>
      </c>
      <c r="D360" s="4">
        <f>VLOOKUP(A360,[1]Discos!$C$8:$H$253,6,FALSE)</f>
        <v>253</v>
      </c>
      <c r="E360" s="4">
        <v>20</v>
      </c>
      <c r="F360" s="4">
        <v>29</v>
      </c>
      <c r="G360" s="4">
        <v>84</v>
      </c>
      <c r="H360" s="4" t="str">
        <f>VLOOKUP(A360,[1]Discos!$C$8:$L$253,10,FALSE)</f>
        <v>5H</v>
      </c>
    </row>
    <row r="361" spans="1:8">
      <c r="A361" s="6" t="s">
        <v>434</v>
      </c>
      <c r="B361" s="4" t="s">
        <v>432</v>
      </c>
      <c r="C361" s="4" t="s">
        <v>10</v>
      </c>
      <c r="D361" s="4">
        <v>253</v>
      </c>
      <c r="E361" s="4">
        <v>20</v>
      </c>
      <c r="F361" s="4">
        <v>29</v>
      </c>
      <c r="G361" s="4">
        <v>84</v>
      </c>
      <c r="H361" s="4" t="s">
        <v>11</v>
      </c>
    </row>
    <row r="362" spans="1:8">
      <c r="A362" s="6" t="s">
        <v>435</v>
      </c>
      <c r="B362" s="4" t="s">
        <v>432</v>
      </c>
      <c r="C362" s="4" t="s">
        <v>10</v>
      </c>
      <c r="D362" s="4">
        <v>253</v>
      </c>
      <c r="E362" s="4">
        <v>20</v>
      </c>
      <c r="F362" s="4">
        <v>29</v>
      </c>
      <c r="G362" s="4">
        <v>84</v>
      </c>
      <c r="H362" s="4" t="s">
        <v>11</v>
      </c>
    </row>
    <row r="363" spans="1:8">
      <c r="A363" s="3" t="s">
        <v>436</v>
      </c>
      <c r="B363" s="4" t="s">
        <v>437</v>
      </c>
      <c r="C363" s="4" t="s">
        <v>10</v>
      </c>
      <c r="D363" s="4">
        <v>256</v>
      </c>
      <c r="E363" s="4">
        <v>22</v>
      </c>
      <c r="F363" s="4">
        <v>44</v>
      </c>
      <c r="G363" s="4">
        <v>62</v>
      </c>
      <c r="H363" s="4" t="s">
        <v>16</v>
      </c>
    </row>
    <row r="364" spans="1:8">
      <c r="A364" s="6" t="s">
        <v>438</v>
      </c>
      <c r="B364" s="4" t="s">
        <v>437</v>
      </c>
      <c r="C364" s="4" t="s">
        <v>10</v>
      </c>
      <c r="D364" s="4">
        <f>VLOOKUP(A364,[1]Discos!$C$8:$H$253,6,FALSE)</f>
        <v>256</v>
      </c>
      <c r="E364" s="4">
        <v>22</v>
      </c>
      <c r="F364" s="4">
        <v>44</v>
      </c>
      <c r="G364" s="4">
        <v>62</v>
      </c>
      <c r="H364" s="4" t="str">
        <f>VLOOKUP(A364,[1]Discos!$C$8:$L$253,10,FALSE)</f>
        <v>4H</v>
      </c>
    </row>
    <row r="365" spans="1:8">
      <c r="A365" s="8" t="s">
        <v>439</v>
      </c>
      <c r="B365" s="4" t="s">
        <v>437</v>
      </c>
      <c r="C365" s="4" t="s">
        <v>10</v>
      </c>
      <c r="D365" s="4">
        <v>256</v>
      </c>
      <c r="E365" s="4">
        <v>22</v>
      </c>
      <c r="F365" s="4">
        <v>44</v>
      </c>
      <c r="G365" s="4">
        <v>62</v>
      </c>
      <c r="H365" s="4" t="s">
        <v>16</v>
      </c>
    </row>
    <row r="366" spans="1:8">
      <c r="A366" s="8" t="s">
        <v>440</v>
      </c>
      <c r="B366" s="4" t="s">
        <v>437</v>
      </c>
      <c r="C366" s="4" t="s">
        <v>10</v>
      </c>
      <c r="D366" s="4">
        <v>256</v>
      </c>
      <c r="E366" s="4">
        <v>22</v>
      </c>
      <c r="F366" s="4">
        <v>44</v>
      </c>
      <c r="G366" s="4">
        <v>62</v>
      </c>
      <c r="H366" s="4" t="s">
        <v>16</v>
      </c>
    </row>
    <row r="367" spans="1:8">
      <c r="A367" s="3" t="s">
        <v>441</v>
      </c>
      <c r="B367" s="4" t="s">
        <v>442</v>
      </c>
      <c r="C367" s="4" t="s">
        <v>10</v>
      </c>
      <c r="D367" s="4">
        <v>256.5</v>
      </c>
      <c r="E367" s="4">
        <v>22</v>
      </c>
      <c r="F367" s="4">
        <v>46.5</v>
      </c>
      <c r="G367" s="4">
        <v>62</v>
      </c>
      <c r="H367" s="4" t="s">
        <v>16</v>
      </c>
    </row>
    <row r="368" spans="1:8">
      <c r="A368" s="6" t="s">
        <v>443</v>
      </c>
      <c r="B368" s="4" t="s">
        <v>442</v>
      </c>
      <c r="C368" s="4" t="s">
        <v>10</v>
      </c>
      <c r="D368" s="4">
        <f>VLOOKUP(A368,[1]Discos!$C$8:$H$253,6,FALSE)</f>
        <v>256.5</v>
      </c>
      <c r="E368" s="4">
        <v>22</v>
      </c>
      <c r="F368" s="4">
        <v>46.5</v>
      </c>
      <c r="G368" s="4">
        <v>62</v>
      </c>
      <c r="H368" s="4" t="str">
        <f>VLOOKUP(A368,[1]Discos!$C$8:$L$253,10,FALSE)</f>
        <v>4H</v>
      </c>
    </row>
    <row r="369" spans="1:8">
      <c r="A369" s="6" t="s">
        <v>444</v>
      </c>
      <c r="B369" s="4" t="s">
        <v>442</v>
      </c>
      <c r="C369" s="4" t="s">
        <v>10</v>
      </c>
      <c r="D369" s="4">
        <v>256.5</v>
      </c>
      <c r="E369" s="4">
        <v>22</v>
      </c>
      <c r="F369" s="4">
        <v>46.5</v>
      </c>
      <c r="G369" s="4">
        <v>62</v>
      </c>
      <c r="H369" s="4" t="s">
        <v>16</v>
      </c>
    </row>
    <row r="370" spans="1:8">
      <c r="A370" s="8" t="s">
        <v>445</v>
      </c>
      <c r="B370" s="4" t="s">
        <v>442</v>
      </c>
      <c r="C370" s="4" t="s">
        <v>10</v>
      </c>
      <c r="D370" s="4">
        <v>256.5</v>
      </c>
      <c r="E370" s="4">
        <v>22</v>
      </c>
      <c r="F370" s="4">
        <v>46.5</v>
      </c>
      <c r="G370" s="4">
        <v>62</v>
      </c>
      <c r="H370" s="4" t="s">
        <v>16</v>
      </c>
    </row>
    <row r="371" spans="1:8">
      <c r="A371" s="3" t="s">
        <v>446</v>
      </c>
      <c r="B371" s="4" t="s">
        <v>447</v>
      </c>
      <c r="C371" s="4" t="s">
        <v>10</v>
      </c>
      <c r="D371" s="4">
        <v>242</v>
      </c>
      <c r="E371" s="4">
        <v>19</v>
      </c>
      <c r="F371" s="4">
        <v>40.5</v>
      </c>
      <c r="G371" s="4">
        <v>86</v>
      </c>
      <c r="H371" s="4" t="s">
        <v>16</v>
      </c>
    </row>
    <row r="372" spans="1:8">
      <c r="A372" s="8" t="s">
        <v>448</v>
      </c>
      <c r="B372" s="4" t="s">
        <v>447</v>
      </c>
      <c r="C372" s="4" t="s">
        <v>10</v>
      </c>
      <c r="D372" s="4">
        <f>VLOOKUP(A372,[1]Discos!$C$8:$H$253,6,FALSE)</f>
        <v>242</v>
      </c>
      <c r="E372" s="4">
        <v>19</v>
      </c>
      <c r="F372" s="4">
        <v>40.5</v>
      </c>
      <c r="G372" s="4">
        <v>86</v>
      </c>
      <c r="H372" s="4" t="str">
        <f>VLOOKUP(A372,[1]Discos!$C$8:$L$253,10,FALSE)</f>
        <v>4H</v>
      </c>
    </row>
    <row r="373" spans="1:8">
      <c r="A373" s="3">
        <v>5171221350</v>
      </c>
      <c r="B373" s="4" t="s">
        <v>447</v>
      </c>
      <c r="C373" s="4" t="s">
        <v>10</v>
      </c>
      <c r="D373" s="4">
        <v>242</v>
      </c>
      <c r="E373" s="4">
        <v>19</v>
      </c>
      <c r="F373" s="4">
        <v>40.5</v>
      </c>
      <c r="G373" s="4">
        <v>86</v>
      </c>
      <c r="H373" s="4" t="s">
        <v>16</v>
      </c>
    </row>
    <row r="374" spans="1:8">
      <c r="A374" s="3" t="s">
        <v>449</v>
      </c>
      <c r="B374" s="4" t="s">
        <v>447</v>
      </c>
      <c r="C374" s="4" t="s">
        <v>10</v>
      </c>
      <c r="D374" s="4">
        <v>242</v>
      </c>
      <c r="E374" s="4">
        <v>19</v>
      </c>
      <c r="F374" s="4">
        <v>40.5</v>
      </c>
      <c r="G374" s="4">
        <v>86</v>
      </c>
      <c r="H374" s="4" t="s">
        <v>16</v>
      </c>
    </row>
    <row r="375" spans="1:8">
      <c r="A375" s="3" t="s">
        <v>450</v>
      </c>
      <c r="B375" s="4" t="s">
        <v>451</v>
      </c>
      <c r="C375" s="4" t="s">
        <v>10</v>
      </c>
      <c r="D375" s="4">
        <v>321</v>
      </c>
      <c r="E375" s="4">
        <v>28</v>
      </c>
      <c r="F375" s="4">
        <v>49</v>
      </c>
      <c r="G375" s="4">
        <v>69</v>
      </c>
      <c r="H375" s="4" t="s">
        <v>11</v>
      </c>
    </row>
    <row r="376" spans="1:8">
      <c r="A376" s="3" t="s">
        <v>452</v>
      </c>
      <c r="B376" s="4" t="s">
        <v>451</v>
      </c>
      <c r="C376" s="4" t="s">
        <v>22</v>
      </c>
      <c r="D376" s="4">
        <v>302</v>
      </c>
      <c r="E376" s="4">
        <v>11</v>
      </c>
      <c r="F376" s="4">
        <v>71.5</v>
      </c>
      <c r="G376" s="4">
        <v>69</v>
      </c>
      <c r="H376" s="4" t="s">
        <v>11</v>
      </c>
    </row>
    <row r="377" spans="1:8">
      <c r="A377" s="8" t="s">
        <v>453</v>
      </c>
      <c r="B377" s="4" t="s">
        <v>451</v>
      </c>
      <c r="C377" s="4" t="s">
        <v>10</v>
      </c>
      <c r="D377" s="4">
        <f>VLOOKUP(A377,[1]Discos!$C$8:$H$253,6,FALSE)</f>
        <v>321</v>
      </c>
      <c r="E377" s="4">
        <v>28</v>
      </c>
      <c r="F377" s="4">
        <v>49</v>
      </c>
      <c r="G377" s="4">
        <v>69</v>
      </c>
      <c r="H377" s="4" t="str">
        <f>VLOOKUP(A377,[1]Discos!$C$8:$L$253,10,FALSE)</f>
        <v>5H</v>
      </c>
    </row>
    <row r="378" spans="1:8">
      <c r="A378" s="8" t="s">
        <v>454</v>
      </c>
      <c r="B378" s="4" t="s">
        <v>451</v>
      </c>
      <c r="C378" s="4" t="s">
        <v>22</v>
      </c>
      <c r="D378" s="4">
        <f>VLOOKUP(A378,[1]Discos!$C$8:$H$253,6,FALSE)</f>
        <v>302</v>
      </c>
      <c r="E378" s="4">
        <v>11</v>
      </c>
      <c r="F378" s="4">
        <v>71.5</v>
      </c>
      <c r="G378" s="4">
        <v>69</v>
      </c>
      <c r="H378" s="4" t="str">
        <f>VLOOKUP(A378,[1]Discos!$C$8:$L$253,10,FALSE)</f>
        <v>5H</v>
      </c>
    </row>
    <row r="379" spans="1:8">
      <c r="A379" s="8" t="s">
        <v>455</v>
      </c>
      <c r="B379" s="4" t="s">
        <v>451</v>
      </c>
      <c r="C379" s="4" t="s">
        <v>10</v>
      </c>
      <c r="D379" s="4">
        <v>321</v>
      </c>
      <c r="E379" s="4">
        <v>28</v>
      </c>
      <c r="F379" s="4">
        <v>49</v>
      </c>
      <c r="G379" s="4">
        <v>69</v>
      </c>
      <c r="H379" s="4" t="s">
        <v>11</v>
      </c>
    </row>
    <row r="380" spans="1:8">
      <c r="A380" s="8" t="s">
        <v>456</v>
      </c>
      <c r="B380" s="4" t="s">
        <v>451</v>
      </c>
      <c r="C380" s="4" t="s">
        <v>22</v>
      </c>
      <c r="D380" s="4">
        <v>302</v>
      </c>
      <c r="E380" s="4">
        <v>11</v>
      </c>
      <c r="F380" s="4">
        <v>71.5</v>
      </c>
      <c r="G380" s="4">
        <v>69</v>
      </c>
      <c r="H380" s="4" t="s">
        <v>11</v>
      </c>
    </row>
    <row r="381" spans="1:8">
      <c r="A381" s="8" t="s">
        <v>457</v>
      </c>
      <c r="B381" s="4" t="s">
        <v>451</v>
      </c>
      <c r="C381" s="4" t="s">
        <v>10</v>
      </c>
      <c r="D381" s="4">
        <v>321</v>
      </c>
      <c r="E381" s="4">
        <v>28</v>
      </c>
      <c r="F381" s="4">
        <v>49</v>
      </c>
      <c r="G381" s="4">
        <v>69</v>
      </c>
      <c r="H381" s="4" t="s">
        <v>11</v>
      </c>
    </row>
    <row r="382" spans="1:8">
      <c r="A382" s="8" t="s">
        <v>458</v>
      </c>
      <c r="B382" s="4" t="s">
        <v>451</v>
      </c>
      <c r="C382" s="4" t="s">
        <v>22</v>
      </c>
      <c r="D382" s="4">
        <v>302</v>
      </c>
      <c r="E382" s="4">
        <v>11</v>
      </c>
      <c r="F382" s="4">
        <v>71.5</v>
      </c>
      <c r="G382" s="4">
        <v>69</v>
      </c>
      <c r="H382" s="4" t="s">
        <v>11</v>
      </c>
    </row>
    <row r="383" spans="1:8">
      <c r="A383" s="3" t="s">
        <v>459</v>
      </c>
      <c r="B383" s="4" t="s">
        <v>460</v>
      </c>
      <c r="C383" s="4" t="s">
        <v>10</v>
      </c>
      <c r="D383" s="4">
        <v>320</v>
      </c>
      <c r="E383" s="4">
        <v>28</v>
      </c>
      <c r="F383" s="4">
        <v>49</v>
      </c>
      <c r="G383" s="4">
        <v>69.5</v>
      </c>
      <c r="H383" s="4" t="s">
        <v>11</v>
      </c>
    </row>
    <row r="384" spans="1:8">
      <c r="A384" s="8" t="s">
        <v>461</v>
      </c>
      <c r="B384" s="4" t="s">
        <v>460</v>
      </c>
      <c r="C384" s="4" t="s">
        <v>10</v>
      </c>
      <c r="D384" s="4">
        <f>VLOOKUP(A384,[1]Discos!$C$8:$H$253,6,FALSE)</f>
        <v>320</v>
      </c>
      <c r="E384" s="4">
        <v>28</v>
      </c>
      <c r="F384" s="4">
        <v>49</v>
      </c>
      <c r="G384" s="4">
        <v>69.5</v>
      </c>
      <c r="H384" s="4" t="str">
        <f>VLOOKUP(A384,[1]Discos!$C$8:$L$253,10,FALSE)</f>
        <v>5H</v>
      </c>
    </row>
    <row r="385" spans="1:8">
      <c r="A385" s="8" t="s">
        <v>462</v>
      </c>
      <c r="B385" s="4" t="s">
        <v>460</v>
      </c>
      <c r="C385" s="4" t="s">
        <v>10</v>
      </c>
      <c r="D385" s="4">
        <v>320</v>
      </c>
      <c r="E385" s="4">
        <v>28</v>
      </c>
      <c r="F385" s="4">
        <v>49</v>
      </c>
      <c r="G385" s="4">
        <v>69.5</v>
      </c>
      <c r="H385" s="4" t="s">
        <v>11</v>
      </c>
    </row>
    <row r="386" spans="1:8">
      <c r="A386" s="8" t="s">
        <v>463</v>
      </c>
      <c r="B386" s="4" t="s">
        <v>460</v>
      </c>
      <c r="C386" s="4" t="s">
        <v>10</v>
      </c>
      <c r="D386" s="4">
        <v>320</v>
      </c>
      <c r="E386" s="4">
        <v>28</v>
      </c>
      <c r="F386" s="4">
        <v>49</v>
      </c>
      <c r="G386" s="4">
        <v>69.5</v>
      </c>
      <c r="H386" s="4" t="s">
        <v>11</v>
      </c>
    </row>
    <row r="387" spans="1:8">
      <c r="A387" s="3" t="s">
        <v>464</v>
      </c>
      <c r="B387" s="4" t="s">
        <v>465</v>
      </c>
      <c r="C387" s="4" t="s">
        <v>10</v>
      </c>
      <c r="D387" s="4">
        <v>298</v>
      </c>
      <c r="E387" s="4">
        <v>28</v>
      </c>
      <c r="F387" s="4">
        <v>49.5</v>
      </c>
      <c r="G387" s="4">
        <v>69</v>
      </c>
      <c r="H387" s="4" t="s">
        <v>11</v>
      </c>
    </row>
    <row r="388" spans="1:8">
      <c r="A388" s="8" t="s">
        <v>466</v>
      </c>
      <c r="B388" s="4" t="s">
        <v>465</v>
      </c>
      <c r="C388" s="4" t="s">
        <v>10</v>
      </c>
      <c r="D388" s="4">
        <f>VLOOKUP(A388,[1]Discos!$C$8:$H$253,6,FALSE)</f>
        <v>298</v>
      </c>
      <c r="E388" s="4">
        <v>28</v>
      </c>
      <c r="F388" s="4">
        <v>49.5</v>
      </c>
      <c r="G388" s="4">
        <v>69</v>
      </c>
      <c r="H388" s="4" t="str">
        <f>VLOOKUP(A388,[1]Discos!$C$8:$L$253,10,FALSE)</f>
        <v>5H</v>
      </c>
    </row>
    <row r="389" spans="1:8">
      <c r="A389" s="8" t="s">
        <v>467</v>
      </c>
      <c r="B389" s="4" t="s">
        <v>465</v>
      </c>
      <c r="C389" s="4" t="s">
        <v>10</v>
      </c>
      <c r="D389" s="4">
        <v>298</v>
      </c>
      <c r="E389" s="4">
        <v>28</v>
      </c>
      <c r="F389" s="4">
        <v>49.5</v>
      </c>
      <c r="G389" s="4">
        <v>69</v>
      </c>
      <c r="H389" s="4" t="s">
        <v>11</v>
      </c>
    </row>
    <row r="390" spans="1:8">
      <c r="A390" s="8" t="s">
        <v>468</v>
      </c>
      <c r="B390" s="4" t="s">
        <v>465</v>
      </c>
      <c r="C390" s="4" t="s">
        <v>10</v>
      </c>
      <c r="D390" s="4">
        <v>298</v>
      </c>
      <c r="E390" s="4">
        <v>28</v>
      </c>
      <c r="F390" s="4">
        <v>49.5</v>
      </c>
      <c r="G390" s="4">
        <v>69</v>
      </c>
      <c r="H390" s="4" t="s">
        <v>11</v>
      </c>
    </row>
    <row r="391" spans="1:8">
      <c r="A391" s="3" t="s">
        <v>469</v>
      </c>
      <c r="B391" s="4" t="s">
        <v>470</v>
      </c>
      <c r="C391" s="4" t="s">
        <v>156</v>
      </c>
      <c r="D391" s="4">
        <v>284</v>
      </c>
      <c r="E391" s="4">
        <v>10</v>
      </c>
      <c r="F391" s="4">
        <v>61</v>
      </c>
      <c r="G391" s="4">
        <v>76</v>
      </c>
      <c r="H391" s="4" t="s">
        <v>11</v>
      </c>
    </row>
    <row r="392" spans="1:8">
      <c r="A392" s="8" t="s">
        <v>471</v>
      </c>
      <c r="B392" s="4" t="s">
        <v>470</v>
      </c>
      <c r="C392" s="4" t="s">
        <v>156</v>
      </c>
      <c r="D392" s="4">
        <f>VLOOKUP(A392,[1]Discos!$C$8:$H$253,6,FALSE)</f>
        <v>284</v>
      </c>
      <c r="E392" s="4">
        <v>10</v>
      </c>
      <c r="F392" s="4">
        <v>61</v>
      </c>
      <c r="G392" s="4">
        <v>76</v>
      </c>
      <c r="H392" s="4" t="str">
        <f>VLOOKUP(A392,[1]Discos!$C$8:$L$253,10,FALSE)</f>
        <v>5H</v>
      </c>
    </row>
    <row r="393" spans="1:8">
      <c r="A393" s="8" t="s">
        <v>472</v>
      </c>
      <c r="B393" s="4" t="s">
        <v>470</v>
      </c>
      <c r="C393" s="4" t="s">
        <v>156</v>
      </c>
      <c r="D393" s="4">
        <v>284</v>
      </c>
      <c r="E393" s="4">
        <v>10</v>
      </c>
      <c r="F393" s="4">
        <v>61</v>
      </c>
      <c r="G393" s="4">
        <v>76</v>
      </c>
      <c r="H393" s="4" t="s">
        <v>11</v>
      </c>
    </row>
    <row r="394" spans="1:8">
      <c r="A394" s="8" t="s">
        <v>473</v>
      </c>
      <c r="B394" s="4" t="s">
        <v>470</v>
      </c>
      <c r="C394" s="4" t="s">
        <v>156</v>
      </c>
      <c r="D394" s="4">
        <v>284</v>
      </c>
      <c r="E394" s="4">
        <v>10</v>
      </c>
      <c r="F394" s="4">
        <v>61</v>
      </c>
      <c r="G394" s="4">
        <v>76</v>
      </c>
      <c r="H394" s="4" t="s">
        <v>11</v>
      </c>
    </row>
    <row r="395" spans="1:8">
      <c r="A395" s="3" t="s">
        <v>474</v>
      </c>
      <c r="B395" s="4" t="s">
        <v>475</v>
      </c>
      <c r="C395" s="4" t="s">
        <v>10</v>
      </c>
      <c r="D395" s="4">
        <v>280</v>
      </c>
      <c r="E395" s="4">
        <v>26</v>
      </c>
      <c r="F395" s="4">
        <v>47.5</v>
      </c>
      <c r="G395" s="4">
        <v>69</v>
      </c>
      <c r="H395" s="4" t="s">
        <v>11</v>
      </c>
    </row>
    <row r="396" spans="1:8">
      <c r="A396" s="12" t="s">
        <v>476</v>
      </c>
      <c r="B396" s="4" t="s">
        <v>475</v>
      </c>
      <c r="C396" s="4" t="s">
        <v>10</v>
      </c>
      <c r="D396" s="4">
        <f>VLOOKUP(A396,[1]Discos!$C$8:$H$253,6,FALSE)</f>
        <v>280</v>
      </c>
      <c r="E396" s="4">
        <v>26</v>
      </c>
      <c r="F396" s="4">
        <v>47.5</v>
      </c>
      <c r="G396" s="4">
        <v>69</v>
      </c>
      <c r="H396" s="4" t="str">
        <f>VLOOKUP(A396,[1]Discos!$C$8:$L$253,10,FALSE)</f>
        <v>5H</v>
      </c>
    </row>
    <row r="397" spans="1:8">
      <c r="A397" s="13" t="s">
        <v>477</v>
      </c>
      <c r="B397" s="4" t="s">
        <v>475</v>
      </c>
      <c r="C397" s="4" t="s">
        <v>10</v>
      </c>
      <c r="D397" s="4">
        <v>280</v>
      </c>
      <c r="E397" s="4">
        <v>26</v>
      </c>
      <c r="F397" s="4">
        <v>47.5</v>
      </c>
      <c r="G397" s="4">
        <v>69</v>
      </c>
      <c r="H397" s="4" t="s">
        <v>11</v>
      </c>
    </row>
    <row r="398" spans="1:8">
      <c r="A398" s="14" t="s">
        <v>478</v>
      </c>
      <c r="B398" s="4" t="s">
        <v>475</v>
      </c>
      <c r="C398" s="4" t="s">
        <v>10</v>
      </c>
      <c r="D398" s="4">
        <v>280</v>
      </c>
      <c r="E398" s="4">
        <v>26</v>
      </c>
      <c r="F398" s="4">
        <v>47.5</v>
      </c>
      <c r="G398" s="4">
        <v>69</v>
      </c>
      <c r="H398" s="4" t="s">
        <v>11</v>
      </c>
    </row>
    <row r="399" spans="1:8">
      <c r="A399" s="3" t="s">
        <v>479</v>
      </c>
      <c r="B399" s="4" t="s">
        <v>480</v>
      </c>
      <c r="C399" s="4" t="s">
        <v>10</v>
      </c>
      <c r="D399" s="4">
        <v>300</v>
      </c>
      <c r="E399" s="4">
        <v>28</v>
      </c>
      <c r="F399" s="4">
        <v>47.5</v>
      </c>
      <c r="G399" s="4">
        <v>69</v>
      </c>
      <c r="H399" s="4" t="s">
        <v>11</v>
      </c>
    </row>
    <row r="400" spans="1:8">
      <c r="A400" s="8" t="s">
        <v>481</v>
      </c>
      <c r="B400" s="4" t="s">
        <v>480</v>
      </c>
      <c r="C400" s="4" t="s">
        <v>10</v>
      </c>
      <c r="D400" s="4">
        <f>VLOOKUP(A400,[1]Discos!$C$8:$H$253,6,FALSE)</f>
        <v>300</v>
      </c>
      <c r="E400" s="4">
        <v>28</v>
      </c>
      <c r="F400" s="4">
        <v>47.5</v>
      </c>
      <c r="G400" s="4">
        <v>69</v>
      </c>
      <c r="H400" s="4" t="str">
        <f>VLOOKUP(A400,[1]Discos!$C$8:$L$253,10,FALSE)</f>
        <v>5H</v>
      </c>
    </row>
    <row r="401" spans="1:8">
      <c r="A401" s="8" t="s">
        <v>482</v>
      </c>
      <c r="B401" s="4" t="s">
        <v>480</v>
      </c>
      <c r="C401" s="4" t="s">
        <v>10</v>
      </c>
      <c r="D401" s="4">
        <v>300</v>
      </c>
      <c r="E401" s="4">
        <v>28</v>
      </c>
      <c r="F401" s="4">
        <v>47.5</v>
      </c>
      <c r="G401" s="4">
        <v>69</v>
      </c>
      <c r="H401" s="4" t="s">
        <v>11</v>
      </c>
    </row>
    <row r="402" spans="1:8">
      <c r="A402" s="8" t="s">
        <v>483</v>
      </c>
      <c r="B402" s="4" t="s">
        <v>480</v>
      </c>
      <c r="C402" s="4" t="s">
        <v>10</v>
      </c>
      <c r="D402" s="4">
        <v>300</v>
      </c>
      <c r="E402" s="4">
        <v>28</v>
      </c>
      <c r="F402" s="4">
        <v>47.5</v>
      </c>
      <c r="G402" s="4">
        <v>69</v>
      </c>
      <c r="H402" s="4" t="s">
        <v>11</v>
      </c>
    </row>
    <row r="403" spans="1:8">
      <c r="A403" s="3" t="s">
        <v>484</v>
      </c>
      <c r="B403" s="4" t="s">
        <v>485</v>
      </c>
      <c r="C403" s="4" t="s">
        <v>10</v>
      </c>
      <c r="D403" s="4">
        <v>305</v>
      </c>
      <c r="E403" s="4">
        <v>25</v>
      </c>
      <c r="F403" s="4">
        <v>46.5</v>
      </c>
      <c r="G403" s="4">
        <v>69</v>
      </c>
      <c r="H403" s="4" t="s">
        <v>11</v>
      </c>
    </row>
    <row r="404" spans="1:8">
      <c r="A404" s="8" t="s">
        <v>486</v>
      </c>
      <c r="B404" s="4" t="s">
        <v>485</v>
      </c>
      <c r="C404" s="4" t="s">
        <v>10</v>
      </c>
      <c r="D404" s="4">
        <f>VLOOKUP(A404,[1]Discos!$C$8:$H$253,6,FALSE)</f>
        <v>305</v>
      </c>
      <c r="E404" s="4">
        <v>25</v>
      </c>
      <c r="F404" s="4">
        <v>46.5</v>
      </c>
      <c r="G404" s="4">
        <v>69</v>
      </c>
      <c r="H404" s="4" t="str">
        <f>VLOOKUP(A404,[1]Discos!$C$8:$L$253,10,FALSE)</f>
        <v>5H</v>
      </c>
    </row>
    <row r="405" spans="1:8">
      <c r="A405" s="8" t="s">
        <v>487</v>
      </c>
      <c r="B405" s="4" t="s">
        <v>485</v>
      </c>
      <c r="C405" s="4" t="s">
        <v>10</v>
      </c>
      <c r="D405" s="4">
        <v>305</v>
      </c>
      <c r="E405" s="4">
        <v>25</v>
      </c>
      <c r="F405" s="4">
        <v>46.5</v>
      </c>
      <c r="G405" s="4">
        <v>69</v>
      </c>
      <c r="H405" s="4" t="s">
        <v>11</v>
      </c>
    </row>
    <row r="406" spans="1:8">
      <c r="A406" s="8" t="s">
        <v>488</v>
      </c>
      <c r="B406" s="4" t="s">
        <v>485</v>
      </c>
      <c r="C406" s="4" t="s">
        <v>10</v>
      </c>
      <c r="D406" s="4">
        <v>305</v>
      </c>
      <c r="E406" s="4">
        <v>25</v>
      </c>
      <c r="F406" s="4">
        <v>46.5</v>
      </c>
      <c r="G406" s="4">
        <v>69</v>
      </c>
      <c r="H406" s="4" t="s">
        <v>11</v>
      </c>
    </row>
    <row r="407" spans="1:8">
      <c r="A407" s="3" t="s">
        <v>489</v>
      </c>
      <c r="B407" s="4" t="s">
        <v>490</v>
      </c>
      <c r="C407" s="4" t="s">
        <v>22</v>
      </c>
      <c r="D407" s="4">
        <v>262</v>
      </c>
      <c r="E407" s="4">
        <v>10</v>
      </c>
      <c r="F407" s="4">
        <v>61</v>
      </c>
      <c r="G407" s="4">
        <v>76</v>
      </c>
      <c r="H407" s="4" t="s">
        <v>11</v>
      </c>
    </row>
    <row r="408" spans="1:8">
      <c r="A408" s="8" t="s">
        <v>491</v>
      </c>
      <c r="B408" s="4" t="s">
        <v>490</v>
      </c>
      <c r="C408" s="4" t="s">
        <v>22</v>
      </c>
      <c r="D408" s="4">
        <f>VLOOKUP(A408,[1]Discos!$C$8:$H$253,6,FALSE)</f>
        <v>262</v>
      </c>
      <c r="E408" s="4">
        <v>10</v>
      </c>
      <c r="F408" s="4">
        <v>61</v>
      </c>
      <c r="G408" s="4">
        <v>76</v>
      </c>
      <c r="H408" s="4" t="str">
        <f>VLOOKUP(A408,[1]Discos!$C$8:$L$253,10,FALSE)</f>
        <v>5H</v>
      </c>
    </row>
    <row r="409" spans="1:8">
      <c r="A409" s="8" t="s">
        <v>492</v>
      </c>
      <c r="B409" s="4" t="s">
        <v>490</v>
      </c>
      <c r="C409" s="4" t="s">
        <v>22</v>
      </c>
      <c r="D409" s="4">
        <v>262</v>
      </c>
      <c r="E409" s="4">
        <v>10</v>
      </c>
      <c r="F409" s="4">
        <v>61</v>
      </c>
      <c r="G409" s="4">
        <v>76</v>
      </c>
      <c r="H409" s="4" t="s">
        <v>11</v>
      </c>
    </row>
    <row r="410" spans="1:8">
      <c r="A410" s="8" t="s">
        <v>493</v>
      </c>
      <c r="B410" s="4" t="s">
        <v>490</v>
      </c>
      <c r="C410" s="4" t="s">
        <v>22</v>
      </c>
      <c r="D410" s="4">
        <v>262</v>
      </c>
      <c r="E410" s="4">
        <v>10</v>
      </c>
      <c r="F410" s="4">
        <v>61</v>
      </c>
      <c r="G410" s="4">
        <v>76</v>
      </c>
      <c r="H410" s="4" t="s">
        <v>11</v>
      </c>
    </row>
    <row r="411" spans="1:8">
      <c r="A411" s="8" t="s">
        <v>494</v>
      </c>
      <c r="B411" s="4" t="s">
        <v>495</v>
      </c>
      <c r="C411" s="4" t="s">
        <v>22</v>
      </c>
      <c r="D411" s="4">
        <v>300</v>
      </c>
      <c r="E411" s="4">
        <v>10</v>
      </c>
      <c r="F411" s="4">
        <v>32</v>
      </c>
      <c r="G411" s="4">
        <v>76</v>
      </c>
      <c r="H411" s="4" t="s">
        <v>11</v>
      </c>
    </row>
    <row r="412" spans="1:8">
      <c r="A412" s="8" t="s">
        <v>496</v>
      </c>
      <c r="B412" s="4" t="s">
        <v>495</v>
      </c>
      <c r="C412" s="4" t="s">
        <v>10</v>
      </c>
      <c r="D412" s="4">
        <v>310</v>
      </c>
      <c r="E412" s="4">
        <v>25</v>
      </c>
      <c r="F412" s="4">
        <v>48.5</v>
      </c>
      <c r="G412" s="4">
        <v>69</v>
      </c>
      <c r="H412" s="4" t="s">
        <v>11</v>
      </c>
    </row>
    <row r="413" spans="1:8">
      <c r="A413" s="3" t="s">
        <v>497</v>
      </c>
      <c r="B413" s="4" t="s">
        <v>498</v>
      </c>
      <c r="C413" s="4" t="s">
        <v>22</v>
      </c>
      <c r="D413" s="4">
        <v>302</v>
      </c>
      <c r="E413" s="4">
        <v>10</v>
      </c>
      <c r="F413" s="4">
        <v>54.5</v>
      </c>
      <c r="G413" s="4">
        <v>76</v>
      </c>
      <c r="H413" s="4" t="s">
        <v>11</v>
      </c>
    </row>
    <row r="414" spans="1:8">
      <c r="A414" s="8" t="s">
        <v>499</v>
      </c>
      <c r="B414" s="4" t="s">
        <v>498</v>
      </c>
      <c r="C414" s="4" t="s">
        <v>22</v>
      </c>
      <c r="D414" s="4">
        <f>VLOOKUP(A414,[1]Discos!$C$8:$H$253,6,FALSE)</f>
        <v>302</v>
      </c>
      <c r="E414" s="4">
        <v>10</v>
      </c>
      <c r="F414" s="4">
        <v>54.5</v>
      </c>
      <c r="G414" s="4">
        <v>76</v>
      </c>
      <c r="H414" s="4" t="str">
        <f>VLOOKUP(A414,[1]Discos!$C$8:$L$253,10,FALSE)</f>
        <v>5H</v>
      </c>
    </row>
    <row r="415" spans="1:8">
      <c r="A415" s="8" t="s">
        <v>500</v>
      </c>
      <c r="B415" s="4" t="s">
        <v>498</v>
      </c>
      <c r="C415" s="4" t="s">
        <v>22</v>
      </c>
      <c r="D415" s="4">
        <v>302</v>
      </c>
      <c r="E415" s="4">
        <v>10</v>
      </c>
      <c r="F415" s="4">
        <v>54.5</v>
      </c>
      <c r="G415" s="4">
        <v>76</v>
      </c>
      <c r="H415" s="4" t="s">
        <v>11</v>
      </c>
    </row>
    <row r="416" spans="1:8">
      <c r="A416" s="8" t="s">
        <v>501</v>
      </c>
      <c r="B416" s="4" t="s">
        <v>498</v>
      </c>
      <c r="C416" s="4" t="s">
        <v>22</v>
      </c>
      <c r="D416" s="4">
        <v>302</v>
      </c>
      <c r="E416" s="4">
        <v>10</v>
      </c>
      <c r="F416" s="4">
        <v>54.5</v>
      </c>
      <c r="G416" s="4">
        <v>76</v>
      </c>
      <c r="H416" s="4" t="s">
        <v>11</v>
      </c>
    </row>
    <row r="417" spans="1:8">
      <c r="A417" s="3" t="s">
        <v>502</v>
      </c>
      <c r="B417" s="4" t="s">
        <v>503</v>
      </c>
      <c r="C417" s="4" t="s">
        <v>22</v>
      </c>
      <c r="D417" s="4">
        <v>324</v>
      </c>
      <c r="E417" s="4">
        <v>12</v>
      </c>
      <c r="F417" s="4">
        <v>67</v>
      </c>
      <c r="G417" s="4">
        <v>69</v>
      </c>
      <c r="H417" s="4" t="s">
        <v>11</v>
      </c>
    </row>
    <row r="418" spans="1:8">
      <c r="A418" s="8" t="s">
        <v>504</v>
      </c>
      <c r="B418" s="4" t="s">
        <v>503</v>
      </c>
      <c r="C418" s="4" t="s">
        <v>22</v>
      </c>
      <c r="D418" s="4">
        <f>VLOOKUP(A418,[1]Discos!$C$8:$H$253,6,FALSE)</f>
        <v>324</v>
      </c>
      <c r="E418" s="4">
        <v>12</v>
      </c>
      <c r="F418" s="4">
        <v>67</v>
      </c>
      <c r="G418" s="4">
        <v>69</v>
      </c>
      <c r="H418" s="4" t="str">
        <f>VLOOKUP(A418,[1]Discos!$C$8:$L$253,10,FALSE)</f>
        <v>5H</v>
      </c>
    </row>
    <row r="419" spans="1:8">
      <c r="A419" s="8" t="s">
        <v>505</v>
      </c>
      <c r="B419" s="4" t="s">
        <v>503</v>
      </c>
      <c r="C419" s="4" t="s">
        <v>22</v>
      </c>
      <c r="D419" s="4">
        <v>324</v>
      </c>
      <c r="E419" s="4">
        <v>12</v>
      </c>
      <c r="F419" s="4">
        <v>67</v>
      </c>
      <c r="G419" s="4">
        <v>69</v>
      </c>
      <c r="H419" s="4" t="s">
        <v>11</v>
      </c>
    </row>
    <row r="420" spans="1:8">
      <c r="A420" s="8" t="s">
        <v>506</v>
      </c>
      <c r="B420" s="4" t="s">
        <v>503</v>
      </c>
      <c r="C420" s="4" t="s">
        <v>22</v>
      </c>
      <c r="D420" s="4">
        <v>324</v>
      </c>
      <c r="E420" s="4">
        <v>12</v>
      </c>
      <c r="F420" s="4">
        <v>67</v>
      </c>
      <c r="G420" s="4">
        <v>69</v>
      </c>
      <c r="H420" s="4" t="s">
        <v>11</v>
      </c>
    </row>
    <row r="421" spans="1:8">
      <c r="A421" s="3" t="s">
        <v>507</v>
      </c>
      <c r="B421" s="4" t="s">
        <v>508</v>
      </c>
      <c r="C421" s="4" t="s">
        <v>77</v>
      </c>
      <c r="D421" s="4">
        <v>331</v>
      </c>
      <c r="E421" s="4">
        <v>20</v>
      </c>
      <c r="F421" s="4">
        <v>51.4</v>
      </c>
      <c r="G421" s="4">
        <v>108</v>
      </c>
      <c r="H421" s="4" t="s">
        <v>120</v>
      </c>
    </row>
    <row r="422" spans="1:8">
      <c r="A422" s="5" t="s">
        <v>509</v>
      </c>
      <c r="B422" s="4" t="s">
        <v>510</v>
      </c>
      <c r="C422" s="4" t="s">
        <v>22</v>
      </c>
      <c r="D422" s="4">
        <v>331</v>
      </c>
      <c r="E422" s="4">
        <v>11</v>
      </c>
      <c r="F422" s="4">
        <v>41</v>
      </c>
      <c r="G422" s="4">
        <v>62</v>
      </c>
      <c r="H422" s="4" t="s">
        <v>11</v>
      </c>
    </row>
    <row r="423" spans="1:8">
      <c r="A423" s="5" t="s">
        <v>511</v>
      </c>
      <c r="B423" s="4" t="s">
        <v>510</v>
      </c>
      <c r="C423" s="4" t="s">
        <v>10</v>
      </c>
      <c r="D423" s="4">
        <v>325.5</v>
      </c>
      <c r="E423" s="4">
        <v>25</v>
      </c>
      <c r="F423" s="4">
        <v>45.5</v>
      </c>
      <c r="G423" s="4">
        <v>62</v>
      </c>
      <c r="H423" s="4" t="s">
        <v>11</v>
      </c>
    </row>
    <row r="424" spans="1:8">
      <c r="A424" s="3" t="s">
        <v>512</v>
      </c>
      <c r="B424" s="4" t="s">
        <v>513</v>
      </c>
      <c r="C424" s="4" t="s">
        <v>10</v>
      </c>
      <c r="D424" s="4">
        <v>257</v>
      </c>
      <c r="E424" s="4">
        <v>24</v>
      </c>
      <c r="F424" s="4">
        <v>46.5</v>
      </c>
      <c r="G424" s="4">
        <v>69</v>
      </c>
      <c r="H424" s="4" t="s">
        <v>16</v>
      </c>
    </row>
    <row r="425" spans="1:8">
      <c r="A425" s="6" t="s">
        <v>514</v>
      </c>
      <c r="B425" s="4" t="s">
        <v>513</v>
      </c>
      <c r="C425" s="4" t="s">
        <v>10</v>
      </c>
      <c r="D425" s="4">
        <f>VLOOKUP(A425,[1]Discos!$C$8:$H$253,6,FALSE)</f>
        <v>257</v>
      </c>
      <c r="E425" s="4">
        <v>24</v>
      </c>
      <c r="F425" s="4">
        <v>46.5</v>
      </c>
      <c r="G425" s="4">
        <v>69</v>
      </c>
      <c r="H425" s="4" t="str">
        <f>VLOOKUP(A425,[1]Discos!$C$8:$L$253,10,FALSE)</f>
        <v>4H</v>
      </c>
    </row>
    <row r="426" spans="1:8">
      <c r="A426" s="8" t="s">
        <v>515</v>
      </c>
      <c r="B426" s="4" t="s">
        <v>513</v>
      </c>
      <c r="C426" s="4" t="s">
        <v>10</v>
      </c>
      <c r="D426" s="4">
        <v>257</v>
      </c>
      <c r="E426" s="4">
        <v>24</v>
      </c>
      <c r="F426" s="4">
        <v>46.5</v>
      </c>
      <c r="G426" s="4">
        <v>69</v>
      </c>
      <c r="H426" s="4" t="s">
        <v>16</v>
      </c>
    </row>
    <row r="427" spans="1:8">
      <c r="A427" s="8" t="s">
        <v>516</v>
      </c>
      <c r="B427" s="4" t="s">
        <v>513</v>
      </c>
      <c r="C427" s="4" t="s">
        <v>10</v>
      </c>
      <c r="D427" s="4">
        <v>257</v>
      </c>
      <c r="E427" s="4">
        <v>24</v>
      </c>
      <c r="F427" s="4">
        <v>46.5</v>
      </c>
      <c r="G427" s="4">
        <v>69</v>
      </c>
      <c r="H427" s="4" t="s">
        <v>16</v>
      </c>
    </row>
    <row r="428" spans="1:8">
      <c r="A428" s="3" t="s">
        <v>517</v>
      </c>
      <c r="B428" s="4" t="s">
        <v>518</v>
      </c>
      <c r="C428" s="4" t="s">
        <v>10</v>
      </c>
      <c r="D428" s="4">
        <v>280</v>
      </c>
      <c r="E428" s="4">
        <v>26</v>
      </c>
      <c r="F428" s="4">
        <v>47.5</v>
      </c>
      <c r="G428" s="4">
        <v>69</v>
      </c>
      <c r="H428" s="4" t="s">
        <v>11</v>
      </c>
    </row>
    <row r="429" spans="1:8">
      <c r="A429" s="6" t="s">
        <v>519</v>
      </c>
      <c r="B429" s="4" t="s">
        <v>518</v>
      </c>
      <c r="C429" s="4" t="s">
        <v>10</v>
      </c>
      <c r="D429" s="4">
        <f>VLOOKUP(A429,[1]Discos!$C$8:$H$253,6,FALSE)</f>
        <v>280</v>
      </c>
      <c r="E429" s="4">
        <v>26</v>
      </c>
      <c r="F429" s="4">
        <v>47.5</v>
      </c>
      <c r="G429" s="4">
        <v>69</v>
      </c>
      <c r="H429" s="4" t="str">
        <f>VLOOKUP(A429,[1]Discos!$C$8:$L$253,10,FALSE)</f>
        <v>5H</v>
      </c>
    </row>
    <row r="430" spans="1:8">
      <c r="A430" s="8" t="s">
        <v>520</v>
      </c>
      <c r="B430" s="4" t="s">
        <v>518</v>
      </c>
      <c r="C430" s="4" t="s">
        <v>10</v>
      </c>
      <c r="D430" s="4">
        <v>280</v>
      </c>
      <c r="E430" s="4">
        <v>26</v>
      </c>
      <c r="F430" s="4">
        <v>47.5</v>
      </c>
      <c r="G430" s="4">
        <v>69</v>
      </c>
      <c r="H430" s="4" t="s">
        <v>11</v>
      </c>
    </row>
    <row r="431" spans="1:8">
      <c r="A431" s="8" t="s">
        <v>521</v>
      </c>
      <c r="B431" s="4" t="s">
        <v>518</v>
      </c>
      <c r="C431" s="4" t="s">
        <v>10</v>
      </c>
      <c r="D431" s="4">
        <v>280</v>
      </c>
      <c r="E431" s="4">
        <v>26</v>
      </c>
      <c r="F431" s="4">
        <v>47.5</v>
      </c>
      <c r="G431" s="4">
        <v>69</v>
      </c>
      <c r="H431" s="4" t="s">
        <v>11</v>
      </c>
    </row>
    <row r="432" spans="1:8">
      <c r="A432" s="3" t="s">
        <v>522</v>
      </c>
      <c r="B432" s="4" t="s">
        <v>523</v>
      </c>
      <c r="C432" s="4" t="s">
        <v>10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</row>
    <row r="433" spans="1:8">
      <c r="A433" s="6" t="s">
        <v>524</v>
      </c>
      <c r="B433" s="4" t="s">
        <v>523</v>
      </c>
      <c r="C433" s="4" t="s">
        <v>10</v>
      </c>
      <c r="D433" s="4">
        <f>VLOOKUP(A433,[1]Discos!$C$8:$H$253,6,FALSE)</f>
        <v>0</v>
      </c>
      <c r="E433" s="4">
        <v>0</v>
      </c>
      <c r="F433" s="4">
        <v>0</v>
      </c>
      <c r="G433" s="4">
        <v>0</v>
      </c>
      <c r="H433" s="4">
        <f>VLOOKUP(A433,[1]Discos!$C$8:$L$253,10,FALSE)</f>
        <v>0</v>
      </c>
    </row>
    <row r="434" spans="1:8">
      <c r="A434" s="8" t="s">
        <v>525</v>
      </c>
      <c r="B434" s="4" t="s">
        <v>523</v>
      </c>
      <c r="C434" s="4" t="s">
        <v>10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</row>
    <row r="435" spans="1:8">
      <c r="A435" s="8" t="s">
        <v>526</v>
      </c>
      <c r="B435" s="4" t="s">
        <v>523</v>
      </c>
      <c r="C435" s="4" t="s">
        <v>10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</row>
    <row r="436" spans="1:8">
      <c r="A436" s="3" t="s">
        <v>527</v>
      </c>
      <c r="B436" s="4" t="s">
        <v>528</v>
      </c>
      <c r="C436" s="4" t="s">
        <v>10</v>
      </c>
      <c r="D436" s="4">
        <v>241</v>
      </c>
      <c r="E436" s="4">
        <v>18</v>
      </c>
      <c r="F436" s="4">
        <v>46</v>
      </c>
      <c r="G436" s="4">
        <v>62.2</v>
      </c>
      <c r="H436" s="4" t="s">
        <v>16</v>
      </c>
    </row>
    <row r="437" spans="1:8">
      <c r="A437" s="3" t="s">
        <v>529</v>
      </c>
      <c r="B437" s="4" t="s">
        <v>528</v>
      </c>
      <c r="C437" s="4" t="s">
        <v>10</v>
      </c>
      <c r="D437" s="4">
        <f>VLOOKUP(A437,[1]Discos!$C$8:$H$253,6,FALSE)</f>
        <v>241</v>
      </c>
      <c r="E437" s="4">
        <v>18</v>
      </c>
      <c r="F437" s="4">
        <v>46</v>
      </c>
      <c r="G437" s="4">
        <v>62.2</v>
      </c>
      <c r="H437" s="4" t="str">
        <f>VLOOKUP(A437,[1]Discos!$C$8:$L$253,10,FALSE)</f>
        <v>4H</v>
      </c>
    </row>
    <row r="438" spans="1:8">
      <c r="A438" s="8" t="s">
        <v>530</v>
      </c>
      <c r="B438" s="4" t="s">
        <v>528</v>
      </c>
      <c r="C438" s="4" t="s">
        <v>10</v>
      </c>
      <c r="D438" s="4">
        <v>241</v>
      </c>
      <c r="E438" s="4">
        <v>18</v>
      </c>
      <c r="F438" s="4">
        <v>46</v>
      </c>
      <c r="G438" s="4">
        <v>62.2</v>
      </c>
      <c r="H438" s="4" t="s">
        <v>16</v>
      </c>
    </row>
    <row r="439" spans="1:8">
      <c r="A439" s="3" t="s">
        <v>531</v>
      </c>
      <c r="B439" s="4" t="s">
        <v>532</v>
      </c>
      <c r="C439" s="4" t="s">
        <v>10</v>
      </c>
      <c r="D439" s="4">
        <v>256</v>
      </c>
      <c r="E439" s="4">
        <v>20</v>
      </c>
      <c r="F439" s="4">
        <v>43</v>
      </c>
      <c r="G439" s="4">
        <v>62</v>
      </c>
      <c r="H439" s="4" t="s">
        <v>16</v>
      </c>
    </row>
    <row r="440" spans="1:8">
      <c r="A440" s="3" t="s">
        <v>533</v>
      </c>
      <c r="B440" s="4" t="s">
        <v>532</v>
      </c>
      <c r="C440" s="4" t="s">
        <v>10</v>
      </c>
      <c r="D440" s="4">
        <f>VLOOKUP(A440,[1]Discos!$C$8:$H$253,6,FALSE)</f>
        <v>256</v>
      </c>
      <c r="E440" s="4">
        <v>20</v>
      </c>
      <c r="F440" s="4">
        <v>43</v>
      </c>
      <c r="G440" s="4">
        <v>62</v>
      </c>
      <c r="H440" s="4" t="str">
        <f>VLOOKUP(A440,[1]Discos!$C$8:$L$253,10,FALSE)</f>
        <v>4H</v>
      </c>
    </row>
    <row r="441" spans="1:8">
      <c r="A441" s="8" t="s">
        <v>534</v>
      </c>
      <c r="B441" s="4" t="s">
        <v>532</v>
      </c>
      <c r="C441" s="4" t="s">
        <v>10</v>
      </c>
      <c r="D441" s="4">
        <v>256</v>
      </c>
      <c r="E441" s="4">
        <v>20</v>
      </c>
      <c r="F441" s="4">
        <v>43</v>
      </c>
      <c r="G441" s="4">
        <v>62</v>
      </c>
      <c r="H441" s="4" t="s">
        <v>16</v>
      </c>
    </row>
    <row r="442" spans="1:8">
      <c r="A442" s="3" t="s">
        <v>535</v>
      </c>
      <c r="B442" s="4" t="s">
        <v>536</v>
      </c>
      <c r="C442" s="4" t="s">
        <v>10</v>
      </c>
      <c r="D442" s="4">
        <v>241</v>
      </c>
      <c r="E442" s="4">
        <v>18</v>
      </c>
      <c r="F442" s="4">
        <v>49</v>
      </c>
      <c r="G442" s="4">
        <v>62</v>
      </c>
      <c r="H442" s="4" t="s">
        <v>16</v>
      </c>
    </row>
    <row r="443" spans="1:8">
      <c r="A443" s="3" t="s">
        <v>537</v>
      </c>
      <c r="B443" s="4" t="s">
        <v>536</v>
      </c>
      <c r="C443" s="4" t="s">
        <v>10</v>
      </c>
      <c r="D443" s="4">
        <f>VLOOKUP(A443,[1]Discos!$C$8:$H$253,6,FALSE)</f>
        <v>241</v>
      </c>
      <c r="E443" s="4">
        <v>18</v>
      </c>
      <c r="F443" s="4">
        <v>49</v>
      </c>
      <c r="G443" s="4">
        <v>62</v>
      </c>
      <c r="H443" s="4" t="str">
        <f>VLOOKUP(A443,[1]Discos!$C$8:$L$253,10,FALSE)</f>
        <v>4H</v>
      </c>
    </row>
    <row r="444" spans="1:8">
      <c r="A444" s="8">
        <v>5171207500</v>
      </c>
      <c r="B444" s="4" t="s">
        <v>536</v>
      </c>
      <c r="C444" s="4" t="s">
        <v>10</v>
      </c>
      <c r="D444" s="4">
        <v>241</v>
      </c>
      <c r="E444" s="4">
        <v>18</v>
      </c>
      <c r="F444" s="4">
        <v>49</v>
      </c>
      <c r="G444" s="4">
        <v>62</v>
      </c>
      <c r="H444" s="4" t="s">
        <v>16</v>
      </c>
    </row>
    <row r="445" spans="1:8">
      <c r="A445" s="8" t="s">
        <v>538</v>
      </c>
      <c r="B445" s="4" t="s">
        <v>536</v>
      </c>
      <c r="C445" s="4" t="s">
        <v>10</v>
      </c>
      <c r="D445" s="4">
        <v>241</v>
      </c>
      <c r="E445" s="4">
        <v>18</v>
      </c>
      <c r="F445" s="4">
        <v>49</v>
      </c>
      <c r="G445" s="4">
        <v>62</v>
      </c>
      <c r="H445" s="4" t="s">
        <v>16</v>
      </c>
    </row>
    <row r="446" spans="1:8">
      <c r="A446" s="3" t="s">
        <v>539</v>
      </c>
      <c r="B446" s="4" t="s">
        <v>540</v>
      </c>
      <c r="C446" s="4" t="s">
        <v>10</v>
      </c>
      <c r="D446" s="4">
        <v>258</v>
      </c>
      <c r="E446" s="4">
        <v>26</v>
      </c>
      <c r="F446" s="4">
        <v>56</v>
      </c>
      <c r="G446" s="4">
        <v>87</v>
      </c>
      <c r="H446" s="4" t="s">
        <v>120</v>
      </c>
    </row>
    <row r="447" spans="1:8">
      <c r="A447" s="6" t="s">
        <v>541</v>
      </c>
      <c r="B447" s="4" t="s">
        <v>540</v>
      </c>
      <c r="C447" s="4" t="s">
        <v>10</v>
      </c>
      <c r="D447" s="4">
        <f>VLOOKUP(A447,[1]Discos!$C$8:$H$253,6,FALSE)</f>
        <v>258</v>
      </c>
      <c r="E447" s="4">
        <v>26</v>
      </c>
      <c r="F447" s="4">
        <v>56</v>
      </c>
      <c r="G447" s="4">
        <v>87</v>
      </c>
      <c r="H447" s="4" t="str">
        <f>VLOOKUP(A447,[1]Discos!$C$8:$L$253,10,FALSE)</f>
        <v>6H</v>
      </c>
    </row>
    <row r="448" spans="1:8" ht="36">
      <c r="A448" s="6" t="s">
        <v>542</v>
      </c>
      <c r="B448" s="4" t="s">
        <v>540</v>
      </c>
      <c r="C448" s="4" t="s">
        <v>10</v>
      </c>
      <c r="D448" s="4">
        <v>258</v>
      </c>
      <c r="E448" s="4">
        <v>26</v>
      </c>
      <c r="F448" s="4">
        <v>56</v>
      </c>
      <c r="G448" s="4">
        <v>87</v>
      </c>
      <c r="H448" s="4" t="s">
        <v>120</v>
      </c>
    </row>
    <row r="449" spans="1:8">
      <c r="A449" s="6" t="s">
        <v>543</v>
      </c>
      <c r="B449" s="4" t="s">
        <v>540</v>
      </c>
      <c r="C449" s="4" t="s">
        <v>10</v>
      </c>
      <c r="D449" s="4">
        <v>258</v>
      </c>
      <c r="E449" s="4">
        <v>26</v>
      </c>
      <c r="F449" s="4">
        <v>56</v>
      </c>
      <c r="G449" s="4">
        <v>87</v>
      </c>
      <c r="H449" s="4" t="s">
        <v>120</v>
      </c>
    </row>
    <row r="450" spans="1:8">
      <c r="A450" s="3" t="s">
        <v>544</v>
      </c>
      <c r="B450" s="4" t="s">
        <v>545</v>
      </c>
      <c r="C450" s="4" t="s">
        <v>10</v>
      </c>
      <c r="D450" s="4">
        <v>280</v>
      </c>
      <c r="E450" s="4">
        <v>22</v>
      </c>
      <c r="F450" s="4">
        <v>43.8</v>
      </c>
      <c r="G450" s="4">
        <v>62.2</v>
      </c>
      <c r="H450" s="4" t="s">
        <v>16</v>
      </c>
    </row>
    <row r="451" spans="1:8">
      <c r="A451" s="6" t="s">
        <v>546</v>
      </c>
      <c r="B451" s="4" t="s">
        <v>545</v>
      </c>
      <c r="C451" s="4" t="s">
        <v>10</v>
      </c>
      <c r="D451" s="4">
        <f>VLOOKUP(A451,[1]Discos!$C$8:$H$253,6,FALSE)</f>
        <v>280</v>
      </c>
      <c r="E451" s="4">
        <v>22</v>
      </c>
      <c r="F451" s="4">
        <v>43.8</v>
      </c>
      <c r="G451" s="4">
        <v>62.2</v>
      </c>
      <c r="H451" s="4" t="str">
        <f>VLOOKUP(A451,[1]Discos!$C$8:$L$253,10,FALSE)</f>
        <v>4H</v>
      </c>
    </row>
    <row r="452" spans="1:8">
      <c r="A452" s="6" t="s">
        <v>547</v>
      </c>
      <c r="B452" s="4" t="s">
        <v>545</v>
      </c>
      <c r="C452" s="4" t="s">
        <v>10</v>
      </c>
      <c r="D452" s="4">
        <v>280</v>
      </c>
      <c r="E452" s="4">
        <v>22</v>
      </c>
      <c r="F452" s="4">
        <v>43.8</v>
      </c>
      <c r="G452" s="4">
        <v>62.2</v>
      </c>
      <c r="H452" s="4" t="s">
        <v>16</v>
      </c>
    </row>
    <row r="453" spans="1:8">
      <c r="A453" s="6" t="s">
        <v>548</v>
      </c>
      <c r="B453" s="4" t="s">
        <v>545</v>
      </c>
      <c r="C453" s="4" t="s">
        <v>10</v>
      </c>
      <c r="D453" s="4">
        <v>280</v>
      </c>
      <c r="E453" s="4">
        <v>22</v>
      </c>
      <c r="F453" s="4">
        <v>43.8</v>
      </c>
      <c r="G453" s="4">
        <v>62.2</v>
      </c>
      <c r="H453" s="4" t="s">
        <v>16</v>
      </c>
    </row>
    <row r="454" spans="1:8">
      <c r="A454" s="3" t="s">
        <v>549</v>
      </c>
      <c r="B454" s="4" t="s">
        <v>550</v>
      </c>
      <c r="C454" s="4" t="s">
        <v>10</v>
      </c>
      <c r="D454" s="4">
        <v>235</v>
      </c>
      <c r="E454" s="4">
        <v>22</v>
      </c>
      <c r="F454" s="4">
        <v>50</v>
      </c>
      <c r="G454" s="4">
        <v>55</v>
      </c>
      <c r="H454" s="4" t="s">
        <v>16</v>
      </c>
    </row>
    <row r="455" spans="1:8">
      <c r="A455" s="8" t="s">
        <v>551</v>
      </c>
      <c r="B455" s="4" t="s">
        <v>550</v>
      </c>
      <c r="C455" s="4" t="s">
        <v>10</v>
      </c>
      <c r="D455" s="4">
        <f>VLOOKUP(A455,[1]Discos!$C$8:$H$253,6,FALSE)</f>
        <v>235</v>
      </c>
      <c r="E455" s="4">
        <v>22</v>
      </c>
      <c r="F455" s="4">
        <v>50</v>
      </c>
      <c r="G455" s="4">
        <v>55</v>
      </c>
      <c r="H455" s="4" t="str">
        <f>VLOOKUP(A455,[1]Discos!$C$8:$L$253,10,FALSE)</f>
        <v>4H</v>
      </c>
    </row>
    <row r="456" spans="1:8">
      <c r="A456" s="8" t="s">
        <v>552</v>
      </c>
      <c r="B456" s="4" t="s">
        <v>550</v>
      </c>
      <c r="C456" s="4" t="s">
        <v>10</v>
      </c>
      <c r="D456" s="4">
        <v>235</v>
      </c>
      <c r="E456" s="4">
        <v>22</v>
      </c>
      <c r="F456" s="4">
        <v>50</v>
      </c>
      <c r="G456" s="4">
        <v>55</v>
      </c>
      <c r="H456" s="4" t="s">
        <v>16</v>
      </c>
    </row>
    <row r="457" spans="1:8">
      <c r="A457" s="8" t="s">
        <v>553</v>
      </c>
      <c r="B457" s="4" t="s">
        <v>550</v>
      </c>
      <c r="C457" s="4" t="s">
        <v>10</v>
      </c>
      <c r="D457" s="4">
        <v>235</v>
      </c>
      <c r="E457" s="4">
        <v>22</v>
      </c>
      <c r="F457" s="4">
        <v>50</v>
      </c>
      <c r="G457" s="4">
        <v>55</v>
      </c>
      <c r="H457" s="4" t="s">
        <v>16</v>
      </c>
    </row>
    <row r="458" spans="1:8">
      <c r="A458" s="3" t="s">
        <v>554</v>
      </c>
      <c r="B458" s="4" t="s">
        <v>555</v>
      </c>
      <c r="C458" s="4" t="s">
        <v>10</v>
      </c>
      <c r="D458" s="4">
        <v>300</v>
      </c>
      <c r="E458" s="4">
        <v>28</v>
      </c>
      <c r="F458" s="4">
        <v>49</v>
      </c>
      <c r="G458" s="4">
        <v>69</v>
      </c>
      <c r="H458" s="4" t="s">
        <v>11</v>
      </c>
    </row>
    <row r="459" spans="1:8">
      <c r="A459" s="8" t="s">
        <v>556</v>
      </c>
      <c r="B459" s="4" t="s">
        <v>555</v>
      </c>
      <c r="C459" s="4" t="s">
        <v>10</v>
      </c>
      <c r="D459" s="4">
        <f>VLOOKUP(A459,[1]Discos!$C$8:$H$253,6,FALSE)</f>
        <v>300</v>
      </c>
      <c r="E459" s="4">
        <v>28</v>
      </c>
      <c r="F459" s="4">
        <v>49</v>
      </c>
      <c r="G459" s="4">
        <v>69</v>
      </c>
      <c r="H459" s="4" t="str">
        <f>VLOOKUP(A459,[1]Discos!$C$8:$L$253,10,FALSE)</f>
        <v>5H</v>
      </c>
    </row>
    <row r="460" spans="1:8">
      <c r="A460" s="8" t="s">
        <v>557</v>
      </c>
      <c r="B460" s="4" t="s">
        <v>555</v>
      </c>
      <c r="C460" s="4" t="s">
        <v>10</v>
      </c>
      <c r="D460" s="4">
        <v>300</v>
      </c>
      <c r="E460" s="4">
        <v>28</v>
      </c>
      <c r="F460" s="4">
        <v>49</v>
      </c>
      <c r="G460" s="4">
        <v>69</v>
      </c>
      <c r="H460" s="4" t="s">
        <v>11</v>
      </c>
    </row>
    <row r="461" spans="1:8">
      <c r="A461" s="8" t="s">
        <v>558</v>
      </c>
      <c r="B461" s="4" t="s">
        <v>555</v>
      </c>
      <c r="C461" s="4" t="s">
        <v>10</v>
      </c>
      <c r="D461" s="4">
        <v>300</v>
      </c>
      <c r="E461" s="4">
        <v>28</v>
      </c>
      <c r="F461" s="4">
        <v>49</v>
      </c>
      <c r="G461" s="4">
        <v>69</v>
      </c>
      <c r="H461" s="4" t="s">
        <v>11</v>
      </c>
    </row>
    <row r="462" spans="1:8">
      <c r="A462" s="3" t="s">
        <v>559</v>
      </c>
      <c r="B462" s="4" t="s">
        <v>560</v>
      </c>
      <c r="C462" s="4" t="s">
        <v>10</v>
      </c>
      <c r="D462" s="4">
        <v>302</v>
      </c>
      <c r="E462" s="4">
        <v>28</v>
      </c>
      <c r="F462" s="4">
        <v>54.1</v>
      </c>
      <c r="G462" s="4">
        <v>96.6</v>
      </c>
      <c r="H462" s="4" t="s">
        <v>11</v>
      </c>
    </row>
    <row r="463" spans="1:8">
      <c r="A463" s="8" t="s">
        <v>561</v>
      </c>
      <c r="B463" s="4" t="s">
        <v>560</v>
      </c>
      <c r="C463" s="4" t="s">
        <v>10</v>
      </c>
      <c r="D463" s="4">
        <f>VLOOKUP(A463,[1]Discos!$C$8:$H$253,6,FALSE)</f>
        <v>302</v>
      </c>
      <c r="E463" s="4">
        <v>28</v>
      </c>
      <c r="F463" s="4">
        <v>54.1</v>
      </c>
      <c r="G463" s="4">
        <v>96.6</v>
      </c>
      <c r="H463" s="4" t="str">
        <f>VLOOKUP(A463,[1]Discos!$C$8:$L$253,10,FALSE)</f>
        <v>5H</v>
      </c>
    </row>
    <row r="464" spans="1:8">
      <c r="A464" s="15">
        <v>517123</v>
      </c>
      <c r="B464" s="4" t="s">
        <v>560</v>
      </c>
      <c r="C464" s="4" t="s">
        <v>10</v>
      </c>
      <c r="D464" s="4">
        <v>302</v>
      </c>
      <c r="E464" s="4">
        <v>28</v>
      </c>
      <c r="F464" s="4">
        <v>54.1</v>
      </c>
      <c r="G464" s="4">
        <v>96.6</v>
      </c>
      <c r="H464" s="4" t="s">
        <v>11</v>
      </c>
    </row>
    <row r="465" spans="1:8">
      <c r="A465" s="8" t="s">
        <v>562</v>
      </c>
      <c r="B465" s="4" t="s">
        <v>560</v>
      </c>
      <c r="C465" s="4" t="s">
        <v>10</v>
      </c>
      <c r="D465" s="4">
        <v>302</v>
      </c>
      <c r="E465" s="4">
        <v>28</v>
      </c>
      <c r="F465" s="4">
        <v>54.1</v>
      </c>
      <c r="G465" s="4">
        <v>96.6</v>
      </c>
      <c r="H465" s="4" t="s">
        <v>11</v>
      </c>
    </row>
    <row r="466" spans="1:8">
      <c r="A466" s="3" t="s">
        <v>563</v>
      </c>
      <c r="B466" s="4" t="s">
        <v>564</v>
      </c>
      <c r="C466" s="4" t="s">
        <v>10</v>
      </c>
      <c r="D466" s="4">
        <v>284.5</v>
      </c>
      <c r="E466" s="4">
        <v>24</v>
      </c>
      <c r="F466" s="4">
        <v>51</v>
      </c>
      <c r="G466" s="4">
        <v>96.5</v>
      </c>
      <c r="H466" s="4" t="s">
        <v>11</v>
      </c>
    </row>
    <row r="467" spans="1:8">
      <c r="A467" s="8" t="s">
        <v>565</v>
      </c>
      <c r="B467" s="4" t="s">
        <v>564</v>
      </c>
      <c r="C467" s="4" t="s">
        <v>10</v>
      </c>
      <c r="D467" s="4">
        <f>VLOOKUP(A467,[1]Discos!$C$8:$H$253,6,FALSE)</f>
        <v>284.5</v>
      </c>
      <c r="E467" s="4">
        <v>24</v>
      </c>
      <c r="F467" s="4">
        <v>51</v>
      </c>
      <c r="G467" s="4">
        <v>96.5</v>
      </c>
      <c r="H467" s="4" t="str">
        <f>VLOOKUP(A467,[1]Discos!$C$8:$L$253,10,FALSE)</f>
        <v>5H</v>
      </c>
    </row>
    <row r="468" spans="1:8">
      <c r="A468" s="8" t="s">
        <v>566</v>
      </c>
      <c r="B468" s="4" t="s">
        <v>564</v>
      </c>
      <c r="C468" s="4" t="s">
        <v>10</v>
      </c>
      <c r="D468" s="4">
        <v>284.5</v>
      </c>
      <c r="E468" s="4">
        <v>24</v>
      </c>
      <c r="F468" s="4">
        <v>51</v>
      </c>
      <c r="G468" s="4">
        <v>96.5</v>
      </c>
      <c r="H468" s="4" t="s">
        <v>11</v>
      </c>
    </row>
    <row r="469" spans="1:8">
      <c r="A469" s="8" t="s">
        <v>567</v>
      </c>
      <c r="B469" s="4" t="s">
        <v>564</v>
      </c>
      <c r="C469" s="4" t="s">
        <v>10</v>
      </c>
      <c r="D469" s="4">
        <v>284.5</v>
      </c>
      <c r="E469" s="4">
        <v>24</v>
      </c>
      <c r="F469" s="4">
        <v>51</v>
      </c>
      <c r="G469" s="4">
        <v>96.5</v>
      </c>
      <c r="H469" s="4" t="s">
        <v>11</v>
      </c>
    </row>
    <row r="470" spans="1:8">
      <c r="A470" s="3" t="s">
        <v>568</v>
      </c>
      <c r="B470" s="4" t="s">
        <v>569</v>
      </c>
      <c r="C470" s="4" t="s">
        <v>10</v>
      </c>
      <c r="D470" s="4">
        <v>278</v>
      </c>
      <c r="E470" s="4">
        <v>25</v>
      </c>
      <c r="F470" s="4">
        <v>49</v>
      </c>
      <c r="G470" s="4">
        <v>72</v>
      </c>
      <c r="H470" s="4" t="s">
        <v>11</v>
      </c>
    </row>
    <row r="471" spans="1:8">
      <c r="A471" s="16" t="s">
        <v>570</v>
      </c>
      <c r="B471" s="4" t="s">
        <v>569</v>
      </c>
      <c r="C471" s="4" t="s">
        <v>10</v>
      </c>
      <c r="D471" s="4">
        <f>VLOOKUP(A471,[1]Discos!$C$8:$H$253,6,FALSE)</f>
        <v>278</v>
      </c>
      <c r="E471" s="4">
        <v>25</v>
      </c>
      <c r="F471" s="4">
        <v>49</v>
      </c>
      <c r="G471" s="4">
        <v>72</v>
      </c>
      <c r="H471" s="4" t="str">
        <f>VLOOKUP(A471,[1]Discos!$C$8:$L$253,10,FALSE)</f>
        <v>5H</v>
      </c>
    </row>
    <row r="472" spans="1:8">
      <c r="A472" s="17">
        <v>829352279113</v>
      </c>
      <c r="B472" s="4" t="s">
        <v>569</v>
      </c>
      <c r="C472" s="4" t="s">
        <v>10</v>
      </c>
      <c r="D472" s="4">
        <v>278</v>
      </c>
      <c r="E472" s="4">
        <v>25</v>
      </c>
      <c r="F472" s="4">
        <v>49</v>
      </c>
      <c r="G472" s="4">
        <v>72</v>
      </c>
      <c r="H472" s="4" t="s">
        <v>11</v>
      </c>
    </row>
    <row r="473" spans="1:8">
      <c r="A473" s="3" t="s">
        <v>571</v>
      </c>
      <c r="B473" s="4" t="s">
        <v>569</v>
      </c>
      <c r="C473" s="4" t="s">
        <v>10</v>
      </c>
      <c r="D473" s="4">
        <v>278</v>
      </c>
      <c r="E473" s="4">
        <v>25</v>
      </c>
      <c r="F473" s="4">
        <v>49</v>
      </c>
      <c r="G473" s="4">
        <v>72</v>
      </c>
      <c r="H473" s="4" t="s">
        <v>11</v>
      </c>
    </row>
    <row r="474" spans="1:8">
      <c r="A474" s="3" t="s">
        <v>572</v>
      </c>
      <c r="B474" s="4" t="s">
        <v>573</v>
      </c>
      <c r="C474" s="4" t="s">
        <v>10</v>
      </c>
      <c r="D474" s="4">
        <v>295</v>
      </c>
      <c r="E474" s="4">
        <v>25</v>
      </c>
      <c r="F474" s="4">
        <v>51.5</v>
      </c>
      <c r="G474" s="4">
        <v>68</v>
      </c>
      <c r="H474" s="4" t="s">
        <v>11</v>
      </c>
    </row>
    <row r="475" spans="1:8">
      <c r="A475" s="16" t="s">
        <v>574</v>
      </c>
      <c r="B475" s="4" t="s">
        <v>573</v>
      </c>
      <c r="C475" s="4" t="s">
        <v>10</v>
      </c>
      <c r="D475" s="4">
        <f>VLOOKUP(A475,[1]Discos!$C$8:$H$253,6,FALSE)</f>
        <v>295</v>
      </c>
      <c r="E475" s="4">
        <v>25</v>
      </c>
      <c r="F475" s="4">
        <v>51.5</v>
      </c>
      <c r="G475" s="4">
        <v>68</v>
      </c>
      <c r="H475" s="4" t="str">
        <f>VLOOKUP(A475,[1]Discos!$C$8:$L$253,10,FALSE)</f>
        <v>5H</v>
      </c>
    </row>
    <row r="476" spans="1:8">
      <c r="A476" s="3" t="s">
        <v>575</v>
      </c>
      <c r="B476" s="4" t="s">
        <v>576</v>
      </c>
      <c r="C476" s="4" t="s">
        <v>10</v>
      </c>
      <c r="D476" s="4">
        <v>235</v>
      </c>
      <c r="E476" s="4">
        <v>22</v>
      </c>
      <c r="F476" s="4">
        <v>45</v>
      </c>
      <c r="G476" s="4">
        <v>55</v>
      </c>
      <c r="H476" s="4" t="s">
        <v>16</v>
      </c>
    </row>
    <row r="477" spans="1:8">
      <c r="A477" s="8" t="s">
        <v>577</v>
      </c>
      <c r="B477" s="4" t="s">
        <v>576</v>
      </c>
      <c r="C477" s="4" t="s">
        <v>10</v>
      </c>
      <c r="D477" s="4">
        <f>VLOOKUP(A477,[1]Discos!$C$8:$H$253,6,FALSE)</f>
        <v>235</v>
      </c>
      <c r="E477" s="4">
        <v>22</v>
      </c>
      <c r="F477" s="4">
        <v>45</v>
      </c>
      <c r="G477" s="4">
        <v>55</v>
      </c>
      <c r="H477" s="4" t="str">
        <f>VLOOKUP(A477,[1]Discos!$C$8:$L$253,10,FALSE)</f>
        <v>4H</v>
      </c>
    </row>
    <row r="478" spans="1:8">
      <c r="A478" s="3" t="s">
        <v>578</v>
      </c>
      <c r="B478" s="4" t="s">
        <v>576</v>
      </c>
      <c r="C478" s="4" t="s">
        <v>10</v>
      </c>
      <c r="D478" s="4">
        <v>235</v>
      </c>
      <c r="E478" s="4">
        <v>22</v>
      </c>
      <c r="F478" s="4">
        <v>45</v>
      </c>
      <c r="G478" s="4">
        <v>55</v>
      </c>
      <c r="H478" s="4" t="s">
        <v>16</v>
      </c>
    </row>
    <row r="479" spans="1:8">
      <c r="A479" s="3" t="s">
        <v>579</v>
      </c>
      <c r="B479" s="4" t="s">
        <v>576</v>
      </c>
      <c r="C479" s="4" t="s">
        <v>10</v>
      </c>
      <c r="D479" s="4">
        <v>235</v>
      </c>
      <c r="E479" s="4">
        <v>22</v>
      </c>
      <c r="F479" s="4">
        <v>45</v>
      </c>
      <c r="G479" s="4">
        <v>55</v>
      </c>
      <c r="H479" s="4" t="s">
        <v>16</v>
      </c>
    </row>
    <row r="480" spans="1:8">
      <c r="A480" s="3" t="s">
        <v>580</v>
      </c>
      <c r="B480" s="4" t="s">
        <v>581</v>
      </c>
      <c r="C480" s="4" t="s">
        <v>156</v>
      </c>
      <c r="D480" s="4">
        <v>227</v>
      </c>
      <c r="E480" s="4">
        <v>11</v>
      </c>
      <c r="F480" s="4">
        <v>31</v>
      </c>
      <c r="G480" s="4">
        <v>75</v>
      </c>
      <c r="H480" s="4" t="s">
        <v>16</v>
      </c>
    </row>
    <row r="481" spans="1:8">
      <c r="A481" s="6" t="s">
        <v>582</v>
      </c>
      <c r="B481" s="4" t="s">
        <v>581</v>
      </c>
      <c r="C481" s="4" t="s">
        <v>156</v>
      </c>
      <c r="D481" s="4">
        <f>VLOOKUP(A481,[1]Discos!$C$8:$H$253,6,FALSE)</f>
        <v>227</v>
      </c>
      <c r="E481" s="4">
        <v>11</v>
      </c>
      <c r="F481" s="4">
        <v>31</v>
      </c>
      <c r="G481" s="4">
        <v>75</v>
      </c>
      <c r="H481" s="4" t="str">
        <f>VLOOKUP(A481,[1]Discos!$C$8:$L$253,10,FALSE)</f>
        <v>4H</v>
      </c>
    </row>
    <row r="482" spans="1:8">
      <c r="A482" s="6" t="s">
        <v>583</v>
      </c>
      <c r="B482" s="4" t="s">
        <v>581</v>
      </c>
      <c r="C482" s="4" t="s">
        <v>156</v>
      </c>
      <c r="D482" s="4">
        <v>227</v>
      </c>
      <c r="E482" s="4">
        <v>11</v>
      </c>
      <c r="F482" s="4">
        <v>31</v>
      </c>
      <c r="G482" s="4">
        <v>75</v>
      </c>
      <c r="H482" s="4" t="s">
        <v>16</v>
      </c>
    </row>
    <row r="483" spans="1:8">
      <c r="A483" s="6" t="s">
        <v>584</v>
      </c>
      <c r="B483" s="4" t="s">
        <v>581</v>
      </c>
      <c r="C483" s="4" t="s">
        <v>156</v>
      </c>
      <c r="D483" s="4">
        <v>227</v>
      </c>
      <c r="E483" s="4">
        <v>11</v>
      </c>
      <c r="F483" s="4">
        <v>31</v>
      </c>
      <c r="G483" s="4">
        <v>75</v>
      </c>
      <c r="H483" s="4" t="s">
        <v>16</v>
      </c>
    </row>
    <row r="484" spans="1:8">
      <c r="A484" s="3" t="s">
        <v>585</v>
      </c>
      <c r="B484" s="4" t="s">
        <v>586</v>
      </c>
      <c r="C484" s="4" t="s">
        <v>10</v>
      </c>
      <c r="D484" s="4">
        <v>238</v>
      </c>
      <c r="E484" s="4">
        <v>18</v>
      </c>
      <c r="F484" s="4">
        <v>31</v>
      </c>
      <c r="G484" s="4">
        <v>75</v>
      </c>
      <c r="H484" s="4" t="s">
        <v>16</v>
      </c>
    </row>
    <row r="485" spans="1:8">
      <c r="A485" s="8" t="s">
        <v>587</v>
      </c>
      <c r="B485" s="4" t="s">
        <v>586</v>
      </c>
      <c r="C485" s="4" t="s">
        <v>10</v>
      </c>
      <c r="D485" s="4">
        <f>VLOOKUP(A485,[1]Discos!$C$8:$H$253,6,FALSE)</f>
        <v>238</v>
      </c>
      <c r="E485" s="4">
        <v>18</v>
      </c>
      <c r="F485" s="4">
        <v>31</v>
      </c>
      <c r="G485" s="4">
        <v>75</v>
      </c>
      <c r="H485" s="4" t="str">
        <f>VLOOKUP(A485,[1]Discos!$C$8:$L$253,10,FALSE)</f>
        <v>4H</v>
      </c>
    </row>
    <row r="486" spans="1:8">
      <c r="A486" s="3" t="s">
        <v>588</v>
      </c>
      <c r="B486" s="4" t="s">
        <v>586</v>
      </c>
      <c r="C486" s="4" t="s">
        <v>10</v>
      </c>
      <c r="D486" s="4">
        <v>238</v>
      </c>
      <c r="E486" s="4">
        <v>18</v>
      </c>
      <c r="F486" s="4">
        <v>31</v>
      </c>
      <c r="G486" s="4">
        <v>75</v>
      </c>
      <c r="H486" s="4" t="s">
        <v>16</v>
      </c>
    </row>
    <row r="487" spans="1:8">
      <c r="A487" s="3" t="s">
        <v>589</v>
      </c>
      <c r="B487" s="4" t="s">
        <v>586</v>
      </c>
      <c r="C487" s="4" t="s">
        <v>10</v>
      </c>
      <c r="D487" s="4">
        <v>238</v>
      </c>
      <c r="E487" s="4">
        <v>18</v>
      </c>
      <c r="F487" s="4">
        <v>31</v>
      </c>
      <c r="G487" s="4">
        <v>75</v>
      </c>
      <c r="H487" s="4" t="s">
        <v>16</v>
      </c>
    </row>
    <row r="488" spans="1:8">
      <c r="A488" s="3" t="s">
        <v>590</v>
      </c>
      <c r="B488" s="4" t="s">
        <v>591</v>
      </c>
      <c r="C488" s="4" t="s">
        <v>22</v>
      </c>
      <c r="D488" s="4">
        <v>280</v>
      </c>
      <c r="E488" s="4">
        <v>10</v>
      </c>
      <c r="F488" s="4">
        <v>40.299999999999997</v>
      </c>
      <c r="G488" s="4">
        <v>72</v>
      </c>
      <c r="H488" s="4" t="s">
        <v>11</v>
      </c>
    </row>
    <row r="489" spans="1:8">
      <c r="A489" s="6" t="s">
        <v>592</v>
      </c>
      <c r="B489" s="4" t="s">
        <v>591</v>
      </c>
      <c r="C489" s="4" t="s">
        <v>22</v>
      </c>
      <c r="D489" s="4">
        <f>VLOOKUP(A489,[1]Discos!$C$8:$H$253,6,FALSE)</f>
        <v>280</v>
      </c>
      <c r="E489" s="4">
        <v>10</v>
      </c>
      <c r="F489" s="4">
        <v>40.299999999999997</v>
      </c>
      <c r="G489" s="4">
        <v>72</v>
      </c>
      <c r="H489" s="4" t="str">
        <f>VLOOKUP(A489,[1]Discos!$C$8:$L$253,10,FALSE)</f>
        <v>5H</v>
      </c>
    </row>
    <row r="490" spans="1:8">
      <c r="A490" s="6" t="s">
        <v>593</v>
      </c>
      <c r="B490" s="4" t="s">
        <v>591</v>
      </c>
      <c r="C490" s="4" t="s">
        <v>22</v>
      </c>
      <c r="D490" s="4">
        <v>280</v>
      </c>
      <c r="E490" s="4">
        <v>10</v>
      </c>
      <c r="F490" s="4">
        <v>40.299999999999997</v>
      </c>
      <c r="G490" s="4">
        <v>72</v>
      </c>
      <c r="H490" s="4" t="s">
        <v>11</v>
      </c>
    </row>
    <row r="491" spans="1:8">
      <c r="A491" s="6" t="s">
        <v>594</v>
      </c>
      <c r="B491" s="4" t="s">
        <v>591</v>
      </c>
      <c r="C491" s="4" t="s">
        <v>22</v>
      </c>
      <c r="D491" s="4">
        <v>280</v>
      </c>
      <c r="E491" s="4">
        <v>10</v>
      </c>
      <c r="F491" s="4">
        <v>40.299999999999997</v>
      </c>
      <c r="G491" s="4">
        <v>72</v>
      </c>
      <c r="H491" s="4" t="s">
        <v>11</v>
      </c>
    </row>
    <row r="492" spans="1:8">
      <c r="A492" s="3" t="s">
        <v>595</v>
      </c>
      <c r="B492" s="4" t="s">
        <v>596</v>
      </c>
      <c r="C492" s="4" t="s">
        <v>10</v>
      </c>
      <c r="D492" s="4">
        <v>297</v>
      </c>
      <c r="E492" s="4">
        <v>28</v>
      </c>
      <c r="F492" s="4">
        <v>51.5</v>
      </c>
      <c r="G492" s="4">
        <v>68</v>
      </c>
      <c r="H492" s="4" t="s">
        <v>11</v>
      </c>
    </row>
    <row r="493" spans="1:8">
      <c r="A493" s="6" t="s">
        <v>597</v>
      </c>
      <c r="B493" s="4" t="s">
        <v>596</v>
      </c>
      <c r="C493" s="4" t="s">
        <v>10</v>
      </c>
      <c r="D493" s="4">
        <f>VLOOKUP(A493,[1]Discos!$C$8:$H$253,6,FALSE)</f>
        <v>297</v>
      </c>
      <c r="E493" s="4">
        <v>28</v>
      </c>
      <c r="F493" s="4">
        <v>51.5</v>
      </c>
      <c r="G493" s="4">
        <v>68</v>
      </c>
      <c r="H493" s="4" t="str">
        <f>VLOOKUP(A493,[1]Discos!$C$8:$L$253,10,FALSE)</f>
        <v>5H</v>
      </c>
    </row>
    <row r="494" spans="1:8" ht="24">
      <c r="A494" s="6" t="s">
        <v>598</v>
      </c>
      <c r="B494" s="4" t="s">
        <v>596</v>
      </c>
      <c r="C494" s="4" t="s">
        <v>10</v>
      </c>
      <c r="D494" s="4">
        <v>297</v>
      </c>
      <c r="E494" s="4">
        <v>28</v>
      </c>
      <c r="F494" s="4">
        <v>51.5</v>
      </c>
      <c r="G494" s="4">
        <v>68</v>
      </c>
      <c r="H494" s="4" t="s">
        <v>11</v>
      </c>
    </row>
    <row r="495" spans="1:8">
      <c r="A495" s="6" t="s">
        <v>599</v>
      </c>
      <c r="B495" s="4" t="s">
        <v>596</v>
      </c>
      <c r="C495" s="4" t="s">
        <v>10</v>
      </c>
      <c r="D495" s="4">
        <v>297</v>
      </c>
      <c r="E495" s="4">
        <v>28</v>
      </c>
      <c r="F495" s="4">
        <v>51.5</v>
      </c>
      <c r="G495" s="4">
        <v>68</v>
      </c>
      <c r="H495" s="4" t="s">
        <v>11</v>
      </c>
    </row>
    <row r="496" spans="1:8">
      <c r="A496" s="3" t="s">
        <v>600</v>
      </c>
      <c r="B496" s="4" t="s">
        <v>601</v>
      </c>
      <c r="C496" s="4" t="s">
        <v>10</v>
      </c>
      <c r="D496" s="4">
        <v>258</v>
      </c>
      <c r="E496" s="4">
        <v>24</v>
      </c>
      <c r="F496" s="4">
        <v>48.5</v>
      </c>
      <c r="G496" s="4">
        <v>72</v>
      </c>
      <c r="H496" s="4" t="s">
        <v>11</v>
      </c>
    </row>
    <row r="497" spans="1:8">
      <c r="A497" s="3" t="s">
        <v>602</v>
      </c>
      <c r="B497" s="4" t="s">
        <v>601</v>
      </c>
      <c r="C497" s="4" t="s">
        <v>10</v>
      </c>
      <c r="D497" s="4">
        <f>VLOOKUP(A497,[1]Discos!$C$8:$H$253,6,FALSE)</f>
        <v>258</v>
      </c>
      <c r="E497" s="4">
        <v>24</v>
      </c>
      <c r="F497" s="4">
        <v>48.5</v>
      </c>
      <c r="G497" s="4">
        <v>72</v>
      </c>
      <c r="H497" s="4" t="str">
        <f>VLOOKUP(A497,[1]Discos!$C$8:$L$253,10,FALSE)</f>
        <v>5H</v>
      </c>
    </row>
    <row r="498" spans="1:8">
      <c r="A498" s="8" t="s">
        <v>603</v>
      </c>
      <c r="B498" s="4" t="s">
        <v>601</v>
      </c>
      <c r="C498" s="4" t="s">
        <v>10</v>
      </c>
      <c r="D498" s="4">
        <v>258</v>
      </c>
      <c r="E498" s="4">
        <v>24</v>
      </c>
      <c r="F498" s="4">
        <v>48.5</v>
      </c>
      <c r="G498" s="4">
        <v>72</v>
      </c>
      <c r="H498" s="4" t="s">
        <v>11</v>
      </c>
    </row>
    <row r="499" spans="1:8">
      <c r="A499" s="3" t="s">
        <v>604</v>
      </c>
      <c r="B499" s="4" t="s">
        <v>601</v>
      </c>
      <c r="C499" s="4" t="s">
        <v>10</v>
      </c>
      <c r="D499" s="4">
        <v>258</v>
      </c>
      <c r="E499" s="4">
        <v>24</v>
      </c>
      <c r="F499" s="4">
        <v>48.5</v>
      </c>
      <c r="G499" s="4">
        <v>72</v>
      </c>
      <c r="H499" s="4" t="s">
        <v>11</v>
      </c>
    </row>
    <row r="500" spans="1:8">
      <c r="A500" s="3" t="s">
        <v>605</v>
      </c>
      <c r="B500" s="4" t="s">
        <v>606</v>
      </c>
      <c r="C500" s="4" t="s">
        <v>10</v>
      </c>
      <c r="D500" s="4">
        <v>257</v>
      </c>
      <c r="E500" s="4">
        <v>22</v>
      </c>
      <c r="F500" s="4">
        <v>45</v>
      </c>
      <c r="G500" s="4">
        <v>55</v>
      </c>
      <c r="H500" s="4" t="s">
        <v>16</v>
      </c>
    </row>
    <row r="501" spans="1:8">
      <c r="A501" s="8" t="s">
        <v>607</v>
      </c>
      <c r="B501" s="4" t="s">
        <v>606</v>
      </c>
      <c r="C501" s="4" t="s">
        <v>10</v>
      </c>
      <c r="D501" s="4">
        <f>VLOOKUP(A501,[1]Discos!$C$8:$H$253,6,FALSE)</f>
        <v>257</v>
      </c>
      <c r="E501" s="4">
        <v>22</v>
      </c>
      <c r="F501" s="4">
        <v>45</v>
      </c>
      <c r="G501" s="4">
        <v>55</v>
      </c>
      <c r="H501" s="4" t="str">
        <f>VLOOKUP(A501,[1]Discos!$C$8:$L$253,10,FALSE)</f>
        <v>4H</v>
      </c>
    </row>
    <row r="502" spans="1:8">
      <c r="A502" s="3" t="s">
        <v>608</v>
      </c>
      <c r="B502" s="4" t="s">
        <v>606</v>
      </c>
      <c r="C502" s="4" t="s">
        <v>10</v>
      </c>
      <c r="D502" s="4">
        <v>257</v>
      </c>
      <c r="E502" s="4">
        <v>22</v>
      </c>
      <c r="F502" s="4">
        <v>45</v>
      </c>
      <c r="G502" s="4">
        <v>55</v>
      </c>
      <c r="H502" s="4" t="s">
        <v>16</v>
      </c>
    </row>
    <row r="503" spans="1:8">
      <c r="A503" s="3" t="s">
        <v>609</v>
      </c>
      <c r="B503" s="4" t="s">
        <v>606</v>
      </c>
      <c r="C503" s="4" t="s">
        <v>10</v>
      </c>
      <c r="D503" s="4">
        <v>257</v>
      </c>
      <c r="E503" s="4">
        <v>22</v>
      </c>
      <c r="F503" s="4">
        <v>45</v>
      </c>
      <c r="G503" s="4">
        <v>55</v>
      </c>
      <c r="H503" s="4" t="s">
        <v>16</v>
      </c>
    </row>
    <row r="504" spans="1:8">
      <c r="A504" s="3" t="s">
        <v>610</v>
      </c>
      <c r="B504" s="4" t="s">
        <v>611</v>
      </c>
      <c r="C504" s="4" t="s">
        <v>10</v>
      </c>
      <c r="D504" s="4">
        <v>235</v>
      </c>
      <c r="E504" s="4">
        <v>22</v>
      </c>
      <c r="F504" s="4">
        <v>46</v>
      </c>
      <c r="G504" s="4">
        <v>55</v>
      </c>
      <c r="H504" s="4" t="s">
        <v>16</v>
      </c>
    </row>
    <row r="505" spans="1:8">
      <c r="A505" s="3" t="s">
        <v>612</v>
      </c>
      <c r="B505" s="4" t="s">
        <v>611</v>
      </c>
      <c r="C505" s="4" t="s">
        <v>10</v>
      </c>
      <c r="D505" s="4">
        <f>VLOOKUP(A505,[1]Discos!$C$8:$H$253,6,FALSE)</f>
        <v>235</v>
      </c>
      <c r="E505" s="4">
        <v>22</v>
      </c>
      <c r="F505" s="4">
        <v>46</v>
      </c>
      <c r="G505" s="4">
        <v>55</v>
      </c>
      <c r="H505" s="4" t="str">
        <f>VLOOKUP(A505,[1]Discos!$C$8:$L$253,10,FALSE)</f>
        <v>4H</v>
      </c>
    </row>
    <row r="506" spans="1:8">
      <c r="A506" s="8" t="s">
        <v>613</v>
      </c>
      <c r="B506" s="4" t="s">
        <v>611</v>
      </c>
      <c r="C506" s="4" t="s">
        <v>10</v>
      </c>
      <c r="D506" s="4">
        <v>235</v>
      </c>
      <c r="E506" s="4">
        <v>22</v>
      </c>
      <c r="F506" s="4">
        <v>46</v>
      </c>
      <c r="G506" s="4">
        <v>55</v>
      </c>
      <c r="H506" s="4" t="s">
        <v>16</v>
      </c>
    </row>
    <row r="507" spans="1:8">
      <c r="A507" s="3" t="s">
        <v>614</v>
      </c>
      <c r="B507" s="4" t="s">
        <v>611</v>
      </c>
      <c r="C507" s="4" t="s">
        <v>10</v>
      </c>
      <c r="D507" s="4">
        <v>235</v>
      </c>
      <c r="E507" s="4">
        <v>22</v>
      </c>
      <c r="F507" s="4">
        <v>46</v>
      </c>
      <c r="G507" s="4">
        <v>55</v>
      </c>
      <c r="H507" s="4" t="s">
        <v>16</v>
      </c>
    </row>
    <row r="508" spans="1:8">
      <c r="A508" s="3" t="s">
        <v>615</v>
      </c>
      <c r="B508" s="4" t="s">
        <v>616</v>
      </c>
      <c r="C508" s="4" t="s">
        <v>10</v>
      </c>
      <c r="D508" s="4">
        <v>256</v>
      </c>
      <c r="E508" s="4">
        <v>20</v>
      </c>
      <c r="F508" s="4">
        <v>20.5</v>
      </c>
      <c r="G508" s="4">
        <v>86</v>
      </c>
      <c r="H508" s="4" t="s">
        <v>120</v>
      </c>
    </row>
    <row r="509" spans="1:8">
      <c r="A509" s="8" t="s">
        <v>617</v>
      </c>
      <c r="B509" s="4" t="s">
        <v>616</v>
      </c>
      <c r="C509" s="4" t="s">
        <v>10</v>
      </c>
      <c r="D509" s="4">
        <f>VLOOKUP(A509,[1]Discos!$C$8:$H$253,6,FALSE)</f>
        <v>256</v>
      </c>
      <c r="E509" s="4">
        <v>20</v>
      </c>
      <c r="F509" s="4">
        <v>20.5</v>
      </c>
      <c r="G509" s="4">
        <v>86</v>
      </c>
      <c r="H509" s="4" t="str">
        <f>VLOOKUP(A509,[1]Discos!$C$8:$L$253,10,FALSE)</f>
        <v>6H</v>
      </c>
    </row>
    <row r="510" spans="1:8">
      <c r="A510" s="8" t="s">
        <v>618</v>
      </c>
      <c r="B510" s="4" t="s">
        <v>616</v>
      </c>
      <c r="C510" s="4" t="s">
        <v>10</v>
      </c>
      <c r="D510" s="4">
        <v>256</v>
      </c>
      <c r="E510" s="4">
        <v>20</v>
      </c>
      <c r="F510" s="4">
        <v>20.5</v>
      </c>
      <c r="G510" s="4">
        <v>86</v>
      </c>
      <c r="H510" s="4" t="s">
        <v>120</v>
      </c>
    </row>
    <row r="511" spans="1:8">
      <c r="A511" s="8" t="s">
        <v>619</v>
      </c>
      <c r="B511" s="4" t="s">
        <v>616</v>
      </c>
      <c r="C511" s="4" t="s">
        <v>10</v>
      </c>
      <c r="D511" s="4">
        <v>256</v>
      </c>
      <c r="E511" s="4">
        <v>20</v>
      </c>
      <c r="F511" s="4">
        <v>20.5</v>
      </c>
      <c r="G511" s="4">
        <v>86</v>
      </c>
      <c r="H511" s="4" t="s">
        <v>120</v>
      </c>
    </row>
    <row r="512" spans="1:8">
      <c r="A512" s="3" t="s">
        <v>620</v>
      </c>
      <c r="B512" s="4" t="s">
        <v>621</v>
      </c>
      <c r="C512" s="4" t="s">
        <v>10</v>
      </c>
      <c r="D512" s="4">
        <v>274</v>
      </c>
      <c r="E512" s="4">
        <v>27</v>
      </c>
      <c r="F512" s="4">
        <v>27.3</v>
      </c>
      <c r="G512" s="4">
        <v>93</v>
      </c>
      <c r="H512" s="4" t="s">
        <v>120</v>
      </c>
    </row>
    <row r="513" spans="1:8">
      <c r="A513" s="3" t="s">
        <v>622</v>
      </c>
      <c r="B513" s="4" t="s">
        <v>623</v>
      </c>
      <c r="C513" s="4" t="s">
        <v>10</v>
      </c>
      <c r="D513" s="4">
        <v>302</v>
      </c>
      <c r="E513" s="4">
        <v>32</v>
      </c>
      <c r="F513" s="4">
        <v>61.5</v>
      </c>
      <c r="G513" s="4">
        <v>98</v>
      </c>
      <c r="H513" s="4" t="s">
        <v>120</v>
      </c>
    </row>
    <row r="514" spans="1:8">
      <c r="A514" s="8" t="s">
        <v>624</v>
      </c>
      <c r="B514" s="4" t="s">
        <v>623</v>
      </c>
      <c r="C514" s="4" t="s">
        <v>10</v>
      </c>
      <c r="D514" s="4">
        <f>VLOOKUP(A514,[1]Discos!$C$8:$H$253,6,FALSE)</f>
        <v>302</v>
      </c>
      <c r="E514" s="4">
        <v>32</v>
      </c>
      <c r="F514" s="4">
        <v>61.5</v>
      </c>
      <c r="G514" s="4">
        <v>98</v>
      </c>
      <c r="H514" s="4" t="str">
        <f>VLOOKUP(A514,[1]Discos!$C$8:$L$253,10,FALSE)</f>
        <v>6H</v>
      </c>
    </row>
    <row r="515" spans="1:8">
      <c r="A515" s="8" t="s">
        <v>625</v>
      </c>
      <c r="B515" s="4" t="s">
        <v>623</v>
      </c>
      <c r="C515" s="4" t="s">
        <v>10</v>
      </c>
      <c r="D515" s="4">
        <v>302</v>
      </c>
      <c r="E515" s="4">
        <v>32</v>
      </c>
      <c r="F515" s="4">
        <v>61.5</v>
      </c>
      <c r="G515" s="4">
        <v>98</v>
      </c>
      <c r="H515" s="4" t="s">
        <v>120</v>
      </c>
    </row>
    <row r="516" spans="1:8">
      <c r="A516" s="8" t="s">
        <v>626</v>
      </c>
      <c r="B516" s="4" t="s">
        <v>623</v>
      </c>
      <c r="C516" s="4" t="s">
        <v>10</v>
      </c>
      <c r="D516" s="4">
        <v>302</v>
      </c>
      <c r="E516" s="4">
        <v>32</v>
      </c>
      <c r="F516" s="4">
        <v>61.5</v>
      </c>
      <c r="G516" s="4">
        <v>98</v>
      </c>
      <c r="H516" s="4" t="s">
        <v>120</v>
      </c>
    </row>
    <row r="517" spans="1:8">
      <c r="A517" s="3" t="s">
        <v>627</v>
      </c>
      <c r="B517" s="4" t="s">
        <v>628</v>
      </c>
      <c r="C517" s="4" t="s">
        <v>10</v>
      </c>
      <c r="D517" s="4">
        <v>289</v>
      </c>
      <c r="E517" s="4">
        <v>28</v>
      </c>
      <c r="F517" s="4">
        <v>70.5</v>
      </c>
      <c r="G517" s="4">
        <v>98</v>
      </c>
      <c r="H517" s="4" t="s">
        <v>120</v>
      </c>
    </row>
    <row r="518" spans="1:8">
      <c r="A518" s="8" t="s">
        <v>629</v>
      </c>
      <c r="B518" s="4" t="s">
        <v>628</v>
      </c>
      <c r="C518" s="4" t="s">
        <v>10</v>
      </c>
      <c r="D518" s="4">
        <f>VLOOKUP(A518,[1]Discos!$C$8:$H$253,6,FALSE)</f>
        <v>289</v>
      </c>
      <c r="E518" s="4">
        <v>28</v>
      </c>
      <c r="F518" s="4">
        <v>70.5</v>
      </c>
      <c r="G518" s="4">
        <v>98</v>
      </c>
      <c r="H518" s="4" t="str">
        <f>VLOOKUP(A518,[1]Discos!$C$8:$L$253,10,FALSE)</f>
        <v>6H</v>
      </c>
    </row>
    <row r="519" spans="1:8">
      <c r="A519" s="8" t="s">
        <v>630</v>
      </c>
      <c r="B519" s="4" t="s">
        <v>628</v>
      </c>
      <c r="C519" s="4" t="s">
        <v>10</v>
      </c>
      <c r="D519" s="4">
        <v>289</v>
      </c>
      <c r="E519" s="4">
        <v>28</v>
      </c>
      <c r="F519" s="4">
        <v>70.5</v>
      </c>
      <c r="G519" s="4">
        <v>98</v>
      </c>
      <c r="H519" s="4" t="s">
        <v>120</v>
      </c>
    </row>
    <row r="520" spans="1:8">
      <c r="A520" s="8" t="s">
        <v>631</v>
      </c>
      <c r="B520" s="4" t="s">
        <v>628</v>
      </c>
      <c r="C520" s="4" t="s">
        <v>10</v>
      </c>
      <c r="D520" s="4">
        <v>289</v>
      </c>
      <c r="E520" s="4">
        <v>28</v>
      </c>
      <c r="F520" s="4">
        <v>70.5</v>
      </c>
      <c r="G520" s="4">
        <v>98</v>
      </c>
      <c r="H520" s="4" t="s">
        <v>120</v>
      </c>
    </row>
    <row r="521" spans="1:8">
      <c r="A521" s="3" t="s">
        <v>632</v>
      </c>
      <c r="B521" s="4" t="s">
        <v>633</v>
      </c>
      <c r="C521" s="4" t="s">
        <v>10</v>
      </c>
      <c r="D521" s="4">
        <v>256</v>
      </c>
      <c r="E521" s="4">
        <v>24</v>
      </c>
      <c r="F521" s="4">
        <v>24</v>
      </c>
      <c r="G521" s="4">
        <v>86</v>
      </c>
      <c r="H521" s="4" t="s">
        <v>120</v>
      </c>
    </row>
    <row r="522" spans="1:8">
      <c r="A522" s="8" t="s">
        <v>634</v>
      </c>
      <c r="B522" s="4" t="s">
        <v>633</v>
      </c>
      <c r="C522" s="4" t="s">
        <v>10</v>
      </c>
      <c r="D522" s="4">
        <f>VLOOKUP(A522,[1]Discos!$C$8:$H$253,6,FALSE)</f>
        <v>256</v>
      </c>
      <c r="E522" s="4">
        <v>24</v>
      </c>
      <c r="F522" s="4">
        <v>24</v>
      </c>
      <c r="G522" s="4">
        <v>86</v>
      </c>
      <c r="H522" s="4" t="str">
        <f>VLOOKUP(A522,[1]Discos!$C$8:$L$253,10,FALSE)</f>
        <v>6H</v>
      </c>
    </row>
    <row r="523" spans="1:8">
      <c r="A523" s="8" t="s">
        <v>635</v>
      </c>
      <c r="B523" s="4" t="s">
        <v>633</v>
      </c>
      <c r="C523" s="4" t="s">
        <v>10</v>
      </c>
      <c r="D523" s="4">
        <v>256</v>
      </c>
      <c r="E523" s="4">
        <v>24</v>
      </c>
      <c r="F523" s="4">
        <v>24</v>
      </c>
      <c r="G523" s="4">
        <v>86</v>
      </c>
      <c r="H523" s="4" t="s">
        <v>120</v>
      </c>
    </row>
    <row r="524" spans="1:8">
      <c r="A524" s="8" t="s">
        <v>636</v>
      </c>
      <c r="B524" s="4" t="s">
        <v>633</v>
      </c>
      <c r="C524" s="4" t="s">
        <v>10</v>
      </c>
      <c r="D524" s="4">
        <v>256</v>
      </c>
      <c r="E524" s="4">
        <v>24</v>
      </c>
      <c r="F524" s="4">
        <v>24</v>
      </c>
      <c r="G524" s="4">
        <v>86</v>
      </c>
      <c r="H524" s="4" t="s">
        <v>120</v>
      </c>
    </row>
    <row r="525" spans="1:8">
      <c r="A525" s="3" t="s">
        <v>637</v>
      </c>
      <c r="B525" s="4" t="s">
        <v>638</v>
      </c>
      <c r="C525" s="4" t="s">
        <v>10</v>
      </c>
      <c r="D525" s="4">
        <v>295</v>
      </c>
      <c r="E525" s="4">
        <v>25</v>
      </c>
      <c r="F525" s="4">
        <v>46.5</v>
      </c>
      <c r="G525" s="4">
        <v>68</v>
      </c>
      <c r="H525" s="4" t="s">
        <v>11</v>
      </c>
    </row>
    <row r="526" spans="1:8">
      <c r="A526" s="6" t="s">
        <v>639</v>
      </c>
      <c r="B526" s="4" t="s">
        <v>638</v>
      </c>
      <c r="C526" s="4" t="s">
        <v>10</v>
      </c>
      <c r="D526" s="4">
        <f>VLOOKUP(A526,[1]Discos!$C$8:$H$253,6,FALSE)</f>
        <v>295</v>
      </c>
      <c r="E526" s="4">
        <v>25</v>
      </c>
      <c r="F526" s="4">
        <v>46.5</v>
      </c>
      <c r="G526" s="4">
        <v>68</v>
      </c>
      <c r="H526" s="4" t="str">
        <f>VLOOKUP(A526,[1]Discos!$C$8:$L$253,10,FALSE)</f>
        <v>5H</v>
      </c>
    </row>
    <row r="527" spans="1:8">
      <c r="A527" s="6" t="s">
        <v>640</v>
      </c>
      <c r="B527" s="4" t="s">
        <v>638</v>
      </c>
      <c r="C527" s="4" t="s">
        <v>10</v>
      </c>
      <c r="D527" s="4">
        <v>295</v>
      </c>
      <c r="E527" s="4">
        <v>25</v>
      </c>
      <c r="F527" s="4">
        <v>46.5</v>
      </c>
      <c r="G527" s="4">
        <v>68</v>
      </c>
      <c r="H527" s="4" t="s">
        <v>11</v>
      </c>
    </row>
    <row r="528" spans="1:8">
      <c r="A528" s="3" t="s">
        <v>641</v>
      </c>
      <c r="B528" s="4" t="s">
        <v>642</v>
      </c>
      <c r="C528" s="4" t="s">
        <v>22</v>
      </c>
      <c r="D528" s="4">
        <v>298</v>
      </c>
      <c r="E528" s="4">
        <v>16</v>
      </c>
      <c r="F528" s="4">
        <v>71.5</v>
      </c>
      <c r="G528" s="4">
        <v>85</v>
      </c>
      <c r="H528" s="4" t="s">
        <v>120</v>
      </c>
    </row>
    <row r="529" spans="1:8">
      <c r="A529" s="5" t="s">
        <v>643</v>
      </c>
      <c r="B529" s="4" t="s">
        <v>642</v>
      </c>
      <c r="C529" s="4" t="s">
        <v>22</v>
      </c>
      <c r="D529" s="4">
        <f>VLOOKUP(A529,[1]Discos!$C$8:$H$253,6,FALSE)</f>
        <v>298</v>
      </c>
      <c r="E529" s="4">
        <v>16</v>
      </c>
      <c r="F529" s="4">
        <v>71.5</v>
      </c>
      <c r="G529" s="4">
        <v>85</v>
      </c>
      <c r="H529" s="4" t="str">
        <f>VLOOKUP(A529,[1]Discos!$C$8:$L$253,10,FALSE)</f>
        <v>6H</v>
      </c>
    </row>
    <row r="530" spans="1:8">
      <c r="A530" s="18" t="s">
        <v>644</v>
      </c>
      <c r="B530" s="4" t="s">
        <v>642</v>
      </c>
      <c r="C530" s="4" t="s">
        <v>22</v>
      </c>
      <c r="D530" s="4">
        <v>298</v>
      </c>
      <c r="E530" s="4">
        <v>16</v>
      </c>
      <c r="F530" s="4">
        <v>71.5</v>
      </c>
      <c r="G530" s="4">
        <v>85</v>
      </c>
      <c r="H530" s="4" t="s">
        <v>120</v>
      </c>
    </row>
    <row r="531" spans="1:8">
      <c r="A531" s="3" t="s">
        <v>645</v>
      </c>
      <c r="B531" s="4" t="s">
        <v>642</v>
      </c>
      <c r="C531" s="4" t="s">
        <v>22</v>
      </c>
      <c r="D531" s="4">
        <v>298</v>
      </c>
      <c r="E531" s="4">
        <v>16</v>
      </c>
      <c r="F531" s="4">
        <v>71.5</v>
      </c>
      <c r="G531" s="4">
        <v>85</v>
      </c>
      <c r="H531" s="4" t="s">
        <v>120</v>
      </c>
    </row>
    <row r="532" spans="1:8">
      <c r="A532" s="3" t="s">
        <v>646</v>
      </c>
      <c r="B532" s="4" t="s">
        <v>647</v>
      </c>
      <c r="C532" s="4" t="s">
        <v>10</v>
      </c>
      <c r="D532" s="4">
        <v>300</v>
      </c>
      <c r="E532" s="4">
        <v>28</v>
      </c>
      <c r="F532" s="4">
        <v>68.5</v>
      </c>
      <c r="G532" s="4">
        <v>85</v>
      </c>
      <c r="H532" s="4" t="s">
        <v>120</v>
      </c>
    </row>
    <row r="533" spans="1:8">
      <c r="A533" s="5" t="s">
        <v>648</v>
      </c>
      <c r="B533" s="4" t="s">
        <v>647</v>
      </c>
      <c r="C533" s="4" t="s">
        <v>10</v>
      </c>
      <c r="D533" s="4">
        <f>VLOOKUP(A533,[1]Discos!$C$8:$H$253,6,FALSE)</f>
        <v>300</v>
      </c>
      <c r="E533" s="4">
        <v>28</v>
      </c>
      <c r="F533" s="4">
        <v>68.5</v>
      </c>
      <c r="G533" s="4">
        <v>85</v>
      </c>
      <c r="H533" s="4" t="str">
        <f>VLOOKUP(A533,[1]Discos!$C$8:$L$253,10,FALSE)</f>
        <v>6H</v>
      </c>
    </row>
    <row r="534" spans="1:8">
      <c r="A534" s="3">
        <v>9064210012</v>
      </c>
      <c r="B534" s="4" t="s">
        <v>647</v>
      </c>
      <c r="C534" s="4" t="s">
        <v>10</v>
      </c>
      <c r="D534" s="4">
        <v>300</v>
      </c>
      <c r="E534" s="4">
        <v>28</v>
      </c>
      <c r="F534" s="4">
        <v>68.5</v>
      </c>
      <c r="G534" s="4">
        <v>85</v>
      </c>
      <c r="H534" s="4" t="s">
        <v>120</v>
      </c>
    </row>
    <row r="535" spans="1:8">
      <c r="A535" s="3" t="s">
        <v>649</v>
      </c>
      <c r="B535" s="4" t="s">
        <v>647</v>
      </c>
      <c r="C535" s="4" t="s">
        <v>10</v>
      </c>
      <c r="D535" s="4">
        <v>300</v>
      </c>
      <c r="E535" s="4">
        <v>28</v>
      </c>
      <c r="F535" s="4">
        <v>68.5</v>
      </c>
      <c r="G535" s="4">
        <v>85</v>
      </c>
      <c r="H535" s="4" t="s">
        <v>120</v>
      </c>
    </row>
    <row r="536" spans="1:8">
      <c r="A536" s="3" t="s">
        <v>650</v>
      </c>
      <c r="B536" s="4" t="s">
        <v>651</v>
      </c>
      <c r="C536" s="4" t="s">
        <v>10</v>
      </c>
      <c r="D536" s="4">
        <v>276</v>
      </c>
      <c r="E536" s="4">
        <v>22</v>
      </c>
      <c r="F536" s="4">
        <v>77</v>
      </c>
      <c r="G536" s="4">
        <v>85</v>
      </c>
      <c r="H536" s="4" t="s">
        <v>11</v>
      </c>
    </row>
    <row r="537" spans="1:8">
      <c r="A537" s="3" t="s">
        <v>652</v>
      </c>
      <c r="B537" s="4" t="s">
        <v>651</v>
      </c>
      <c r="C537" s="4" t="s">
        <v>22</v>
      </c>
      <c r="D537" s="4">
        <v>272</v>
      </c>
      <c r="E537" s="4">
        <v>16</v>
      </c>
      <c r="F537" s="4">
        <v>96.4</v>
      </c>
      <c r="G537" s="4">
        <v>85</v>
      </c>
      <c r="H537" s="4" t="s">
        <v>11</v>
      </c>
    </row>
    <row r="538" spans="1:8">
      <c r="A538" s="5" t="s">
        <v>653</v>
      </c>
      <c r="B538" s="4" t="s">
        <v>651</v>
      </c>
      <c r="C538" s="4" t="s">
        <v>10</v>
      </c>
      <c r="D538" s="4">
        <f>VLOOKUP(A538,[1]Discos!$C$8:$H$253,6,FALSE)</f>
        <v>276</v>
      </c>
      <c r="E538" s="4">
        <v>22</v>
      </c>
      <c r="F538" s="4">
        <v>77</v>
      </c>
      <c r="G538" s="4">
        <v>85</v>
      </c>
      <c r="H538" s="4" t="str">
        <f>VLOOKUP(A538,[1]Discos!$C$8:$L$253,10,FALSE)</f>
        <v>5H</v>
      </c>
    </row>
    <row r="539" spans="1:8">
      <c r="A539" s="5" t="s">
        <v>654</v>
      </c>
      <c r="B539" s="4" t="s">
        <v>651</v>
      </c>
      <c r="C539" s="4" t="s">
        <v>22</v>
      </c>
      <c r="D539" s="4">
        <f>VLOOKUP(A539,[1]Discos!$C$8:$H$253,6,FALSE)</f>
        <v>272</v>
      </c>
      <c r="E539" s="4">
        <v>16</v>
      </c>
      <c r="F539" s="4">
        <v>96.4</v>
      </c>
      <c r="G539" s="4">
        <v>85</v>
      </c>
      <c r="H539" s="4" t="str">
        <f>VLOOKUP(A539,[1]Discos!$C$8:$L$253,10,FALSE)</f>
        <v>5H</v>
      </c>
    </row>
    <row r="540" spans="1:8">
      <c r="A540" s="3">
        <v>9024210712</v>
      </c>
      <c r="B540" s="4" t="s">
        <v>651</v>
      </c>
      <c r="C540" s="4" t="s">
        <v>10</v>
      </c>
      <c r="D540" s="4">
        <v>276</v>
      </c>
      <c r="E540" s="4">
        <v>22</v>
      </c>
      <c r="F540" s="4">
        <v>77</v>
      </c>
      <c r="G540" s="4">
        <v>85</v>
      </c>
      <c r="H540" s="4" t="s">
        <v>11</v>
      </c>
    </row>
    <row r="541" spans="1:8">
      <c r="A541" s="3">
        <v>9024230112</v>
      </c>
      <c r="B541" s="4" t="s">
        <v>651</v>
      </c>
      <c r="C541" s="4" t="s">
        <v>22</v>
      </c>
      <c r="D541" s="4">
        <v>272</v>
      </c>
      <c r="E541" s="4">
        <v>16</v>
      </c>
      <c r="F541" s="4">
        <v>96.4</v>
      </c>
      <c r="G541" s="4">
        <v>85</v>
      </c>
      <c r="H541" s="4" t="s">
        <v>11</v>
      </c>
    </row>
    <row r="542" spans="1:8">
      <c r="A542" s="3" t="s">
        <v>655</v>
      </c>
      <c r="B542" s="4" t="s">
        <v>651</v>
      </c>
      <c r="C542" s="4" t="s">
        <v>10</v>
      </c>
      <c r="D542" s="4">
        <v>276</v>
      </c>
      <c r="E542" s="4">
        <v>22</v>
      </c>
      <c r="F542" s="4">
        <v>77</v>
      </c>
      <c r="G542" s="4">
        <v>85</v>
      </c>
      <c r="H542" s="4" t="s">
        <v>11</v>
      </c>
    </row>
    <row r="543" spans="1:8">
      <c r="A543" s="3" t="s">
        <v>656</v>
      </c>
      <c r="B543" s="4" t="s">
        <v>651</v>
      </c>
      <c r="C543" s="4" t="s">
        <v>22</v>
      </c>
      <c r="D543" s="4">
        <v>272</v>
      </c>
      <c r="E543" s="4">
        <v>16</v>
      </c>
      <c r="F543" s="4">
        <v>96.4</v>
      </c>
      <c r="G543" s="4">
        <v>85</v>
      </c>
      <c r="H543" s="4" t="s">
        <v>11</v>
      </c>
    </row>
    <row r="544" spans="1:8">
      <c r="A544" s="3" t="s">
        <v>657</v>
      </c>
      <c r="B544" s="4" t="s">
        <v>658</v>
      </c>
      <c r="C544" s="4" t="s">
        <v>77</v>
      </c>
      <c r="D544" s="4">
        <v>303</v>
      </c>
      <c r="E544" s="4">
        <v>28</v>
      </c>
      <c r="F544" s="4">
        <v>93</v>
      </c>
      <c r="G544" s="4">
        <v>120</v>
      </c>
      <c r="H544" s="4" t="s">
        <v>120</v>
      </c>
    </row>
    <row r="545" spans="1:8">
      <c r="A545" s="5" t="s">
        <v>659</v>
      </c>
      <c r="B545" s="4" t="s">
        <v>658</v>
      </c>
      <c r="C545" s="4" t="s">
        <v>77</v>
      </c>
      <c r="D545" s="4">
        <f>VLOOKUP(A545,[1]Discos!$C$8:$H$253,6,FALSE)</f>
        <v>303</v>
      </c>
      <c r="E545" s="4">
        <v>28</v>
      </c>
      <c r="F545" s="4">
        <v>93</v>
      </c>
      <c r="G545" s="4">
        <v>120</v>
      </c>
      <c r="H545" s="4" t="str">
        <f>VLOOKUP(A545,[1]Discos!$C$8:$L$253,10,FALSE)</f>
        <v>6H</v>
      </c>
    </row>
    <row r="546" spans="1:8">
      <c r="A546" s="18" t="s">
        <v>660</v>
      </c>
      <c r="B546" s="4" t="s">
        <v>658</v>
      </c>
      <c r="C546" s="4" t="s">
        <v>77</v>
      </c>
      <c r="D546" s="4">
        <v>303</v>
      </c>
      <c r="E546" s="4">
        <v>28</v>
      </c>
      <c r="F546" s="4">
        <v>93</v>
      </c>
      <c r="G546" s="4">
        <v>120</v>
      </c>
      <c r="H546" s="4" t="s">
        <v>120</v>
      </c>
    </row>
    <row r="547" spans="1:8">
      <c r="A547" s="3" t="s">
        <v>661</v>
      </c>
      <c r="B547" s="4" t="s">
        <v>658</v>
      </c>
      <c r="C547" s="4" t="s">
        <v>77</v>
      </c>
      <c r="D547" s="4">
        <v>303</v>
      </c>
      <c r="E547" s="4">
        <v>28</v>
      </c>
      <c r="F547" s="4">
        <v>93</v>
      </c>
      <c r="G547" s="4">
        <v>120</v>
      </c>
      <c r="H547" s="4" t="s">
        <v>120</v>
      </c>
    </row>
    <row r="548" spans="1:8">
      <c r="A548" s="3" t="s">
        <v>662</v>
      </c>
      <c r="B548" s="4" t="s">
        <v>663</v>
      </c>
      <c r="C548" s="4" t="s">
        <v>10</v>
      </c>
      <c r="D548" s="4">
        <v>294</v>
      </c>
      <c r="E548" s="4">
        <v>26</v>
      </c>
      <c r="F548" s="4">
        <v>45.7</v>
      </c>
      <c r="G548" s="4">
        <v>69</v>
      </c>
      <c r="H548" s="4" t="s">
        <v>11</v>
      </c>
    </row>
    <row r="549" spans="1:8">
      <c r="A549" s="8" t="s">
        <v>664</v>
      </c>
      <c r="B549" s="4" t="s">
        <v>663</v>
      </c>
      <c r="C549" s="4" t="s">
        <v>10</v>
      </c>
      <c r="D549" s="4">
        <f>VLOOKUP(A549,[1]Discos!$C$8:$H$253,6,FALSE)</f>
        <v>294</v>
      </c>
      <c r="E549" s="4">
        <v>26</v>
      </c>
      <c r="F549" s="4">
        <v>45.7</v>
      </c>
      <c r="G549" s="4">
        <v>69</v>
      </c>
      <c r="H549" s="4" t="str">
        <f>VLOOKUP(A549,[1]Discos!$C$8:$L$253,10,FALSE)</f>
        <v>5H</v>
      </c>
    </row>
    <row r="550" spans="1:8">
      <c r="A550" s="3" t="s">
        <v>665</v>
      </c>
      <c r="B550" s="4" t="s">
        <v>663</v>
      </c>
      <c r="C550" s="4" t="s">
        <v>10</v>
      </c>
      <c r="D550" s="4">
        <v>294</v>
      </c>
      <c r="E550" s="4">
        <v>26</v>
      </c>
      <c r="F550" s="4">
        <v>45.7</v>
      </c>
      <c r="G550" s="4">
        <v>69</v>
      </c>
      <c r="H550" s="4" t="s">
        <v>11</v>
      </c>
    </row>
    <row r="551" spans="1:8">
      <c r="A551" s="3" t="s">
        <v>666</v>
      </c>
      <c r="B551" s="4" t="s">
        <v>663</v>
      </c>
      <c r="C551" s="4" t="s">
        <v>10</v>
      </c>
      <c r="D551" s="4">
        <v>294</v>
      </c>
      <c r="E551" s="4">
        <v>26</v>
      </c>
      <c r="F551" s="4">
        <v>45.7</v>
      </c>
      <c r="G551" s="4">
        <v>69</v>
      </c>
      <c r="H551" s="4" t="s">
        <v>11</v>
      </c>
    </row>
    <row r="552" spans="1:8">
      <c r="A552" s="3" t="s">
        <v>667</v>
      </c>
      <c r="B552" s="4" t="s">
        <v>668</v>
      </c>
      <c r="C552" s="4" t="s">
        <v>10</v>
      </c>
      <c r="D552" s="4">
        <v>258.5</v>
      </c>
      <c r="E552" s="4">
        <v>22</v>
      </c>
      <c r="F552" s="4">
        <v>33.5</v>
      </c>
      <c r="G552" s="4">
        <v>84</v>
      </c>
      <c r="H552" s="4" t="s">
        <v>120</v>
      </c>
    </row>
    <row r="553" spans="1:8">
      <c r="A553" s="8" t="s">
        <v>669</v>
      </c>
      <c r="B553" s="4" t="s">
        <v>668</v>
      </c>
      <c r="C553" s="4" t="s">
        <v>10</v>
      </c>
      <c r="D553" s="4">
        <f>VLOOKUP(A553,[1]Discos!$C$8:$H$253,6,FALSE)</f>
        <v>258.5</v>
      </c>
      <c r="E553" s="4">
        <v>22</v>
      </c>
      <c r="F553" s="4">
        <v>33.5</v>
      </c>
      <c r="G553" s="4">
        <v>84</v>
      </c>
      <c r="H553" s="4" t="str">
        <f>VLOOKUP(A553,[1]Discos!$C$8:$L$253,10,FALSE)</f>
        <v>6H</v>
      </c>
    </row>
    <row r="554" spans="1:8">
      <c r="A554" s="3" t="s">
        <v>670</v>
      </c>
      <c r="B554" s="4" t="s">
        <v>668</v>
      </c>
      <c r="C554" s="4" t="s">
        <v>10</v>
      </c>
      <c r="D554" s="4">
        <v>258.5</v>
      </c>
      <c r="E554" s="4">
        <v>22</v>
      </c>
      <c r="F554" s="4">
        <v>33.5</v>
      </c>
      <c r="G554" s="4">
        <v>84</v>
      </c>
      <c r="H554" s="4" t="s">
        <v>120</v>
      </c>
    </row>
    <row r="555" spans="1:8">
      <c r="A555" s="3" t="s">
        <v>671</v>
      </c>
      <c r="B555" s="4" t="s">
        <v>668</v>
      </c>
      <c r="C555" s="4" t="s">
        <v>10</v>
      </c>
      <c r="D555" s="4">
        <v>258.5</v>
      </c>
      <c r="E555" s="4">
        <v>22</v>
      </c>
      <c r="F555" s="4">
        <v>33.5</v>
      </c>
      <c r="G555" s="4">
        <v>84</v>
      </c>
      <c r="H555" s="4" t="s">
        <v>120</v>
      </c>
    </row>
    <row r="556" spans="1:8">
      <c r="A556" s="3" t="s">
        <v>672</v>
      </c>
      <c r="B556" s="4" t="s">
        <v>673</v>
      </c>
      <c r="C556" s="4" t="s">
        <v>10</v>
      </c>
      <c r="D556" s="4">
        <v>236</v>
      </c>
      <c r="E556" s="4">
        <v>18</v>
      </c>
      <c r="F556" s="4">
        <v>45</v>
      </c>
      <c r="G556" s="4">
        <v>64</v>
      </c>
      <c r="H556" s="4" t="s">
        <v>16</v>
      </c>
    </row>
    <row r="557" spans="1:8">
      <c r="A557" s="8" t="s">
        <v>674</v>
      </c>
      <c r="B557" s="4" t="s">
        <v>673</v>
      </c>
      <c r="C557" s="4" t="s">
        <v>10</v>
      </c>
      <c r="D557" s="4">
        <f>VLOOKUP(A557,[1]Discos!$C$8:$H$253,6,FALSE)</f>
        <v>236</v>
      </c>
      <c r="E557" s="4">
        <v>18</v>
      </c>
      <c r="F557" s="4">
        <v>45</v>
      </c>
      <c r="G557" s="4">
        <v>64</v>
      </c>
      <c r="H557" s="4" t="str">
        <f>VLOOKUP(A557,[1]Discos!$C$8:$L$253,10,FALSE)</f>
        <v>4H</v>
      </c>
    </row>
    <row r="558" spans="1:8">
      <c r="A558" s="3" t="s">
        <v>675</v>
      </c>
      <c r="B558" s="4" t="s">
        <v>673</v>
      </c>
      <c r="C558" s="4" t="s">
        <v>10</v>
      </c>
      <c r="D558" s="4">
        <v>236</v>
      </c>
      <c r="E558" s="4">
        <v>18</v>
      </c>
      <c r="F558" s="4">
        <v>45</v>
      </c>
      <c r="G558" s="4">
        <v>64</v>
      </c>
      <c r="H558" s="4" t="s">
        <v>16</v>
      </c>
    </row>
    <row r="559" spans="1:8">
      <c r="A559" s="3" t="s">
        <v>676</v>
      </c>
      <c r="B559" s="4" t="s">
        <v>673</v>
      </c>
      <c r="C559" s="4" t="s">
        <v>10</v>
      </c>
      <c r="D559" s="4">
        <v>236</v>
      </c>
      <c r="E559" s="4">
        <v>18</v>
      </c>
      <c r="F559" s="4">
        <v>45</v>
      </c>
      <c r="G559" s="4">
        <v>64</v>
      </c>
      <c r="H559" s="4" t="s">
        <v>16</v>
      </c>
    </row>
    <row r="560" spans="1:8">
      <c r="A560" s="3" t="s">
        <v>677</v>
      </c>
      <c r="B560" s="4" t="s">
        <v>678</v>
      </c>
      <c r="C560" s="4" t="s">
        <v>77</v>
      </c>
      <c r="D560" s="4">
        <v>300</v>
      </c>
      <c r="E560" s="4">
        <v>22</v>
      </c>
      <c r="F560" s="4">
        <v>72.5</v>
      </c>
      <c r="G560" s="4">
        <v>94</v>
      </c>
      <c r="H560" s="4" t="s">
        <v>120</v>
      </c>
    </row>
    <row r="561" spans="1:8">
      <c r="A561" s="8" t="s">
        <v>679</v>
      </c>
      <c r="B561" s="4" t="s">
        <v>678</v>
      </c>
      <c r="C561" s="4" t="s">
        <v>77</v>
      </c>
      <c r="D561" s="4">
        <f>VLOOKUP(A561,[1]Discos!$C$8:$H$253,6,FALSE)</f>
        <v>300</v>
      </c>
      <c r="E561" s="4">
        <v>22</v>
      </c>
      <c r="F561" s="4">
        <v>72.5</v>
      </c>
      <c r="G561" s="4">
        <v>94</v>
      </c>
      <c r="H561" s="4" t="str">
        <f>VLOOKUP(A561,[1]Discos!$C$8:$L$253,10,FALSE)</f>
        <v>6H</v>
      </c>
    </row>
    <row r="562" spans="1:8">
      <c r="A562" s="3" t="s">
        <v>680</v>
      </c>
      <c r="B562" s="4" t="s">
        <v>678</v>
      </c>
      <c r="C562" s="4" t="s">
        <v>77</v>
      </c>
      <c r="D562" s="4">
        <v>300</v>
      </c>
      <c r="E562" s="4">
        <v>22</v>
      </c>
      <c r="F562" s="4">
        <v>72.5</v>
      </c>
      <c r="G562" s="4">
        <v>94</v>
      </c>
      <c r="H562" s="4" t="s">
        <v>120</v>
      </c>
    </row>
    <row r="563" spans="1:8">
      <c r="A563" s="3" t="s">
        <v>681</v>
      </c>
      <c r="B563" s="4" t="s">
        <v>678</v>
      </c>
      <c r="C563" s="4" t="s">
        <v>77</v>
      </c>
      <c r="D563" s="4">
        <v>300</v>
      </c>
      <c r="E563" s="4">
        <v>22</v>
      </c>
      <c r="F563" s="4">
        <v>72.5</v>
      </c>
      <c r="G563" s="4">
        <v>94</v>
      </c>
      <c r="H563" s="4" t="s">
        <v>120</v>
      </c>
    </row>
    <row r="564" spans="1:8">
      <c r="A564" s="3" t="s">
        <v>682</v>
      </c>
      <c r="B564" s="4" t="s">
        <v>683</v>
      </c>
      <c r="C564" s="4" t="s">
        <v>10</v>
      </c>
      <c r="D564" s="4">
        <v>276</v>
      </c>
      <c r="E564" s="4">
        <v>24</v>
      </c>
      <c r="F564" s="4">
        <v>45.5</v>
      </c>
      <c r="G564" s="4">
        <v>87</v>
      </c>
      <c r="H564" s="4" t="s">
        <v>120</v>
      </c>
    </row>
    <row r="565" spans="1:8">
      <c r="A565" s="8" t="s">
        <v>684</v>
      </c>
      <c r="B565" s="4" t="s">
        <v>683</v>
      </c>
      <c r="C565" s="4" t="s">
        <v>10</v>
      </c>
      <c r="D565" s="4">
        <f>VLOOKUP(A565,[1]Discos!$C$8:$H$253,6,FALSE)</f>
        <v>276</v>
      </c>
      <c r="E565" s="4">
        <v>24</v>
      </c>
      <c r="F565" s="4">
        <v>45.5</v>
      </c>
      <c r="G565" s="4">
        <v>87</v>
      </c>
      <c r="H565" s="4" t="str">
        <f>VLOOKUP(A565,[1]Discos!$C$8:$L$253,10,FALSE)</f>
        <v>6H</v>
      </c>
    </row>
    <row r="566" spans="1:8">
      <c r="A566" s="3" t="s">
        <v>685</v>
      </c>
      <c r="B566" s="4" t="s">
        <v>683</v>
      </c>
      <c r="C566" s="4" t="s">
        <v>10</v>
      </c>
      <c r="D566" s="4">
        <v>276</v>
      </c>
      <c r="E566" s="4">
        <v>24</v>
      </c>
      <c r="F566" s="4">
        <v>45.5</v>
      </c>
      <c r="G566" s="4">
        <v>87</v>
      </c>
      <c r="H566" s="4" t="s">
        <v>120</v>
      </c>
    </row>
    <row r="567" spans="1:8">
      <c r="A567" s="3" t="s">
        <v>686</v>
      </c>
      <c r="B567" s="4" t="s">
        <v>683</v>
      </c>
      <c r="C567" s="4" t="s">
        <v>10</v>
      </c>
      <c r="D567" s="4">
        <v>276</v>
      </c>
      <c r="E567" s="4">
        <v>24</v>
      </c>
      <c r="F567" s="4">
        <v>45.5</v>
      </c>
      <c r="G567" s="4">
        <v>87</v>
      </c>
      <c r="H567" s="4" t="s">
        <v>120</v>
      </c>
    </row>
    <row r="568" spans="1:8">
      <c r="A568" s="3" t="s">
        <v>687</v>
      </c>
      <c r="B568" s="4" t="s">
        <v>688</v>
      </c>
      <c r="C568" s="4" t="s">
        <v>10</v>
      </c>
      <c r="D568" s="4">
        <v>294</v>
      </c>
      <c r="E568" s="4">
        <v>28</v>
      </c>
      <c r="F568" s="4">
        <v>46.5</v>
      </c>
      <c r="G568" s="4">
        <v>94</v>
      </c>
      <c r="H568" s="4" t="s">
        <v>120</v>
      </c>
    </row>
    <row r="569" spans="1:8">
      <c r="A569" s="8" t="s">
        <v>689</v>
      </c>
      <c r="B569" s="4" t="s">
        <v>688</v>
      </c>
      <c r="C569" s="4" t="s">
        <v>10</v>
      </c>
      <c r="D569" s="4">
        <f>VLOOKUP(A569,[1]Discos!$C$8:$H$253,6,FALSE)</f>
        <v>294</v>
      </c>
      <c r="E569" s="4">
        <v>28</v>
      </c>
      <c r="F569" s="4">
        <v>46.5</v>
      </c>
      <c r="G569" s="4">
        <v>94</v>
      </c>
      <c r="H569" s="4" t="str">
        <f>VLOOKUP(A569,[1]Discos!$C$8:$L$253,10,FALSE)</f>
        <v>6H</v>
      </c>
    </row>
    <row r="570" spans="1:8">
      <c r="A570" s="3" t="s">
        <v>690</v>
      </c>
      <c r="B570" s="4" t="s">
        <v>688</v>
      </c>
      <c r="C570" s="4" t="s">
        <v>10</v>
      </c>
      <c r="D570" s="4">
        <v>294</v>
      </c>
      <c r="E570" s="4">
        <v>28</v>
      </c>
      <c r="F570" s="4">
        <v>46.5</v>
      </c>
      <c r="G570" s="4">
        <v>94</v>
      </c>
      <c r="H570" s="4" t="s">
        <v>120</v>
      </c>
    </row>
    <row r="571" spans="1:8">
      <c r="A571" s="3" t="s">
        <v>691</v>
      </c>
      <c r="B571" s="4" t="s">
        <v>688</v>
      </c>
      <c r="C571" s="4" t="s">
        <v>10</v>
      </c>
      <c r="D571" s="4">
        <v>294</v>
      </c>
      <c r="E571" s="4">
        <v>28</v>
      </c>
      <c r="F571" s="4">
        <v>46.5</v>
      </c>
      <c r="G571" s="4">
        <v>94</v>
      </c>
      <c r="H571" s="4" t="s">
        <v>120</v>
      </c>
    </row>
    <row r="572" spans="1:8">
      <c r="A572" s="3" t="s">
        <v>692</v>
      </c>
      <c r="B572" s="4" t="s">
        <v>693</v>
      </c>
      <c r="C572" s="4" t="s">
        <v>10</v>
      </c>
      <c r="D572" s="4">
        <v>277</v>
      </c>
      <c r="E572" s="4">
        <v>22</v>
      </c>
      <c r="F572" s="4">
        <v>45</v>
      </c>
      <c r="G572" s="4">
        <v>87</v>
      </c>
      <c r="H572" s="4" t="s">
        <v>120</v>
      </c>
    </row>
    <row r="573" spans="1:8">
      <c r="A573" s="8" t="s">
        <v>694</v>
      </c>
      <c r="B573" s="4" t="s">
        <v>693</v>
      </c>
      <c r="C573" s="4" t="s">
        <v>10</v>
      </c>
      <c r="D573" s="4">
        <f>VLOOKUP(A573,[1]Discos!$C$8:$H$253,6,FALSE)</f>
        <v>277</v>
      </c>
      <c r="E573" s="4">
        <v>22</v>
      </c>
      <c r="F573" s="4">
        <v>45</v>
      </c>
      <c r="G573" s="4">
        <v>87</v>
      </c>
      <c r="H573" s="4" t="str">
        <f>VLOOKUP(A573,[1]Discos!$C$8:$L$253,10,FALSE)</f>
        <v>6H</v>
      </c>
    </row>
    <row r="574" spans="1:8">
      <c r="A574" s="3" t="s">
        <v>695</v>
      </c>
      <c r="B574" s="4" t="s">
        <v>693</v>
      </c>
      <c r="C574" s="4" t="s">
        <v>10</v>
      </c>
      <c r="D574" s="4">
        <v>277</v>
      </c>
      <c r="E574" s="4">
        <v>22</v>
      </c>
      <c r="F574" s="4">
        <v>45</v>
      </c>
      <c r="G574" s="4">
        <v>87</v>
      </c>
      <c r="H574" s="4" t="s">
        <v>120</v>
      </c>
    </row>
    <row r="575" spans="1:8">
      <c r="A575" s="3" t="s">
        <v>696</v>
      </c>
      <c r="B575" s="4" t="s">
        <v>693</v>
      </c>
      <c r="C575" s="4" t="s">
        <v>10</v>
      </c>
      <c r="D575" s="4">
        <v>277</v>
      </c>
      <c r="E575" s="4">
        <v>22</v>
      </c>
      <c r="F575" s="4">
        <v>45</v>
      </c>
      <c r="G575" s="4">
        <v>87</v>
      </c>
      <c r="H575" s="4" t="s">
        <v>120</v>
      </c>
    </row>
    <row r="576" spans="1:8">
      <c r="A576" s="3" t="s">
        <v>697</v>
      </c>
      <c r="B576" s="4" t="s">
        <v>698</v>
      </c>
      <c r="C576" s="4" t="s">
        <v>22</v>
      </c>
      <c r="D576" s="4">
        <v>302</v>
      </c>
      <c r="E576" s="4">
        <v>10</v>
      </c>
      <c r="F576" s="4">
        <v>36.5</v>
      </c>
      <c r="G576" s="4">
        <v>69</v>
      </c>
      <c r="H576" s="4" t="s">
        <v>11</v>
      </c>
    </row>
    <row r="577" spans="1:8">
      <c r="A577" s="3" t="s">
        <v>699</v>
      </c>
      <c r="B577" s="4" t="s">
        <v>698</v>
      </c>
      <c r="C577" s="4" t="s">
        <v>22</v>
      </c>
      <c r="D577" s="4">
        <v>302</v>
      </c>
      <c r="E577" s="4">
        <v>10</v>
      </c>
      <c r="F577" s="4">
        <v>36.5</v>
      </c>
      <c r="G577" s="4">
        <v>69</v>
      </c>
      <c r="H577" s="4" t="s">
        <v>11</v>
      </c>
    </row>
    <row r="578" spans="1:8">
      <c r="A578" s="3" t="s">
        <v>700</v>
      </c>
      <c r="B578" s="4" t="s">
        <v>698</v>
      </c>
      <c r="C578" s="4" t="s">
        <v>22</v>
      </c>
      <c r="D578" s="4">
        <v>302</v>
      </c>
      <c r="E578" s="4">
        <v>10</v>
      </c>
      <c r="F578" s="4">
        <v>36.5</v>
      </c>
      <c r="G578" s="4">
        <v>69</v>
      </c>
      <c r="H578" s="4" t="s">
        <v>11</v>
      </c>
    </row>
    <row r="579" spans="1:8">
      <c r="A579" s="3" t="s">
        <v>701</v>
      </c>
      <c r="B579" s="4" t="s">
        <v>702</v>
      </c>
      <c r="C579" s="4" t="s">
        <v>22</v>
      </c>
      <c r="D579" s="4">
        <v>302</v>
      </c>
      <c r="E579" s="4">
        <v>10</v>
      </c>
      <c r="F579" s="4">
        <v>60</v>
      </c>
      <c r="G579" s="4">
        <v>80</v>
      </c>
      <c r="H579" s="4" t="s">
        <v>11</v>
      </c>
    </row>
    <row r="580" spans="1:8">
      <c r="A580" s="8" t="s">
        <v>703</v>
      </c>
      <c r="B580" s="4" t="s">
        <v>702</v>
      </c>
      <c r="C580" s="4" t="s">
        <v>22</v>
      </c>
      <c r="D580" s="4">
        <f>VLOOKUP(A580,[1]Discos!$C$8:$H$253,6,FALSE)</f>
        <v>302</v>
      </c>
      <c r="E580" s="4">
        <v>10</v>
      </c>
      <c r="F580" s="4">
        <v>60</v>
      </c>
      <c r="G580" s="4">
        <v>80</v>
      </c>
      <c r="H580" s="4" t="str">
        <f>VLOOKUP(A580,[1]Discos!$C$8:$L$253,10,FALSE)</f>
        <v>5H</v>
      </c>
    </row>
    <row r="581" spans="1:8">
      <c r="A581" s="3" t="s">
        <v>704</v>
      </c>
      <c r="B581" s="4" t="s">
        <v>702</v>
      </c>
      <c r="C581" s="4" t="s">
        <v>22</v>
      </c>
      <c r="D581" s="4">
        <v>302</v>
      </c>
      <c r="E581" s="4">
        <v>10</v>
      </c>
      <c r="F581" s="4">
        <v>60</v>
      </c>
      <c r="G581" s="4">
        <v>80</v>
      </c>
      <c r="H581" s="4" t="s">
        <v>11</v>
      </c>
    </row>
    <row r="582" spans="1:8">
      <c r="A582" s="3" t="s">
        <v>705</v>
      </c>
      <c r="B582" s="4" t="s">
        <v>702</v>
      </c>
      <c r="C582" s="4" t="s">
        <v>22</v>
      </c>
      <c r="D582" s="4">
        <v>302</v>
      </c>
      <c r="E582" s="4">
        <v>10</v>
      </c>
      <c r="F582" s="4">
        <v>60</v>
      </c>
      <c r="G582" s="4">
        <v>80</v>
      </c>
      <c r="H582" s="4" t="s">
        <v>11</v>
      </c>
    </row>
    <row r="583" spans="1:8">
      <c r="A583" s="3" t="s">
        <v>706</v>
      </c>
      <c r="B583" s="4" t="s">
        <v>707</v>
      </c>
      <c r="C583" s="4" t="s">
        <v>10</v>
      </c>
      <c r="D583" s="4">
        <v>260</v>
      </c>
      <c r="E583" s="4">
        <v>26</v>
      </c>
      <c r="F583" s="4">
        <v>40</v>
      </c>
      <c r="G583" s="4">
        <v>92</v>
      </c>
      <c r="H583" s="4" t="s">
        <v>120</v>
      </c>
    </row>
    <row r="584" spans="1:8">
      <c r="A584" s="3" t="s">
        <v>708</v>
      </c>
      <c r="B584" s="4" t="s">
        <v>707</v>
      </c>
      <c r="C584" s="4" t="s">
        <v>10</v>
      </c>
      <c r="D584" s="4">
        <f>VLOOKUP(A584,[1]Discos!$C$8:$H$253,6,FALSE)</f>
        <v>260</v>
      </c>
      <c r="E584" s="4">
        <v>26</v>
      </c>
      <c r="F584" s="4">
        <v>40</v>
      </c>
      <c r="G584" s="4">
        <v>92</v>
      </c>
      <c r="H584" s="4" t="str">
        <f>VLOOKUP(A584,[1]Discos!$C$8:$L$253,10,FALSE)</f>
        <v>6H</v>
      </c>
    </row>
    <row r="585" spans="1:8">
      <c r="A585" s="8" t="s">
        <v>709</v>
      </c>
      <c r="B585" s="4" t="s">
        <v>707</v>
      </c>
      <c r="C585" s="4" t="s">
        <v>10</v>
      </c>
      <c r="D585" s="4">
        <v>260</v>
      </c>
      <c r="E585" s="4">
        <v>26</v>
      </c>
      <c r="F585" s="4">
        <v>40</v>
      </c>
      <c r="G585" s="4">
        <v>92</v>
      </c>
      <c r="H585" s="4" t="s">
        <v>120</v>
      </c>
    </row>
    <row r="586" spans="1:8">
      <c r="A586" s="8" t="s">
        <v>710</v>
      </c>
      <c r="B586" s="4" t="s">
        <v>707</v>
      </c>
      <c r="C586" s="4" t="s">
        <v>10</v>
      </c>
      <c r="D586" s="4">
        <v>260</v>
      </c>
      <c r="E586" s="4">
        <v>26</v>
      </c>
      <c r="F586" s="4">
        <v>40</v>
      </c>
      <c r="G586" s="4">
        <v>92</v>
      </c>
      <c r="H586" s="4" t="s">
        <v>120</v>
      </c>
    </row>
    <row r="587" spans="1:8">
      <c r="A587" s="3" t="s">
        <v>711</v>
      </c>
      <c r="B587" s="4" t="s">
        <v>712</v>
      </c>
      <c r="C587" s="4" t="s">
        <v>10</v>
      </c>
      <c r="D587" s="4">
        <f>VLOOKUP(A587,[1]Discos!$C$8:$H$253,6,FALSE)</f>
        <v>282.7</v>
      </c>
      <c r="E587" s="4">
        <v>28</v>
      </c>
      <c r="F587" s="4">
        <v>39.5</v>
      </c>
      <c r="G587" s="4">
        <v>100</v>
      </c>
      <c r="H587" s="4" t="str">
        <f>VLOOKUP(A587,[1]Discos!$C$8:$L$253,10,FALSE)</f>
        <v>6H</v>
      </c>
    </row>
    <row r="588" spans="1:8">
      <c r="A588" s="3" t="s">
        <v>713</v>
      </c>
      <c r="B588" s="4" t="s">
        <v>714</v>
      </c>
      <c r="C588" s="4" t="s">
        <v>10</v>
      </c>
      <c r="D588" s="4">
        <v>296</v>
      </c>
      <c r="E588" s="4">
        <v>28</v>
      </c>
      <c r="F588" s="4">
        <v>53</v>
      </c>
      <c r="G588" s="4">
        <v>68</v>
      </c>
      <c r="H588" s="4" t="s">
        <v>120</v>
      </c>
    </row>
    <row r="589" spans="1:8">
      <c r="A589" s="3" t="s">
        <v>715</v>
      </c>
      <c r="B589" s="4" t="s">
        <v>714</v>
      </c>
      <c r="C589" s="4" t="s">
        <v>10</v>
      </c>
      <c r="D589" s="4">
        <f>VLOOKUP(A589,[1]Discos!$C$8:$H$253,6,FALSE)</f>
        <v>296</v>
      </c>
      <c r="E589" s="4">
        <v>28</v>
      </c>
      <c r="F589" s="4">
        <v>53</v>
      </c>
      <c r="G589" s="4">
        <v>68</v>
      </c>
      <c r="H589" s="4" t="str">
        <f>VLOOKUP(A589,[1]Discos!$C$8:$L$253,10,FALSE)</f>
        <v>6H</v>
      </c>
    </row>
    <row r="590" spans="1:8">
      <c r="A590" s="8" t="s">
        <v>716</v>
      </c>
      <c r="B590" s="4" t="s">
        <v>714</v>
      </c>
      <c r="C590" s="4" t="s">
        <v>10</v>
      </c>
      <c r="D590" s="4">
        <v>296</v>
      </c>
      <c r="E590" s="4">
        <v>28</v>
      </c>
      <c r="F590" s="4">
        <v>53</v>
      </c>
      <c r="G590" s="4">
        <v>68</v>
      </c>
      <c r="H590" s="4" t="s">
        <v>120</v>
      </c>
    </row>
    <row r="591" spans="1:8">
      <c r="A591" s="8" t="s">
        <v>717</v>
      </c>
      <c r="B591" s="4" t="s">
        <v>714</v>
      </c>
      <c r="C591" s="4" t="s">
        <v>10</v>
      </c>
      <c r="D591" s="4">
        <v>296</v>
      </c>
      <c r="E591" s="4">
        <v>28</v>
      </c>
      <c r="F591" s="4">
        <v>53</v>
      </c>
      <c r="G591" s="4">
        <v>68</v>
      </c>
      <c r="H591" s="4" t="s">
        <v>120</v>
      </c>
    </row>
    <row r="592" spans="1:8">
      <c r="A592" s="3" t="s">
        <v>718</v>
      </c>
      <c r="B592" s="4" t="s">
        <v>719</v>
      </c>
      <c r="C592" s="4" t="s">
        <v>10</v>
      </c>
      <c r="D592" s="4">
        <v>277</v>
      </c>
      <c r="E592" s="4">
        <v>26</v>
      </c>
      <c r="F592" s="4">
        <v>39.5</v>
      </c>
      <c r="G592" s="4">
        <v>100</v>
      </c>
      <c r="H592" s="4" t="s">
        <v>120</v>
      </c>
    </row>
    <row r="593" spans="1:8">
      <c r="A593" s="3" t="s">
        <v>720</v>
      </c>
      <c r="B593" s="4" t="s">
        <v>719</v>
      </c>
      <c r="C593" s="4" t="s">
        <v>10</v>
      </c>
      <c r="D593" s="4">
        <f>VLOOKUP(A593,[1]Discos!$C$8:$H$253,6,FALSE)</f>
        <v>277</v>
      </c>
      <c r="E593" s="4">
        <v>26</v>
      </c>
      <c r="F593" s="4">
        <v>39.5</v>
      </c>
      <c r="G593" s="4">
        <v>100</v>
      </c>
      <c r="H593" s="4" t="str">
        <f>VLOOKUP(A593,[1]Discos!$C$8:$L$253,10,FALSE)</f>
        <v>6H</v>
      </c>
    </row>
    <row r="594" spans="1:8">
      <c r="A594" s="8" t="s">
        <v>721</v>
      </c>
      <c r="B594" s="4" t="s">
        <v>719</v>
      </c>
      <c r="C594" s="4" t="s">
        <v>10</v>
      </c>
      <c r="D594" s="4">
        <v>277</v>
      </c>
      <c r="E594" s="4">
        <v>26</v>
      </c>
      <c r="F594" s="4">
        <v>39.5</v>
      </c>
      <c r="G594" s="4">
        <v>100</v>
      </c>
      <c r="H594" s="4" t="s">
        <v>120</v>
      </c>
    </row>
    <row r="595" spans="1:8">
      <c r="A595" s="8" t="s">
        <v>722</v>
      </c>
      <c r="B595" s="4" t="s">
        <v>719</v>
      </c>
      <c r="C595" s="4" t="s">
        <v>10</v>
      </c>
      <c r="D595" s="4">
        <v>277</v>
      </c>
      <c r="E595" s="4">
        <v>26</v>
      </c>
      <c r="F595" s="4">
        <v>39.5</v>
      </c>
      <c r="G595" s="4">
        <v>100</v>
      </c>
      <c r="H595" s="4" t="s">
        <v>120</v>
      </c>
    </row>
    <row r="596" spans="1:8">
      <c r="A596" s="3" t="s">
        <v>723</v>
      </c>
      <c r="B596" s="4" t="s">
        <v>724</v>
      </c>
      <c r="C596" s="4" t="s">
        <v>10</v>
      </c>
      <c r="D596" s="4">
        <v>267</v>
      </c>
      <c r="E596" s="4">
        <v>22</v>
      </c>
      <c r="F596" s="4">
        <v>39.5</v>
      </c>
      <c r="G596" s="4">
        <v>100</v>
      </c>
      <c r="H596" s="4" t="s">
        <v>120</v>
      </c>
    </row>
    <row r="597" spans="1:8">
      <c r="A597" s="3" t="s">
        <v>725</v>
      </c>
      <c r="B597" s="4" t="s">
        <v>724</v>
      </c>
      <c r="C597" s="4" t="s">
        <v>10</v>
      </c>
      <c r="D597" s="4">
        <f>VLOOKUP(A597,[1]Discos!$C$8:$H$253,6,FALSE)</f>
        <v>267</v>
      </c>
      <c r="E597" s="4">
        <v>22</v>
      </c>
      <c r="F597" s="4">
        <v>39.5</v>
      </c>
      <c r="G597" s="4">
        <v>100</v>
      </c>
      <c r="H597" s="4" t="str">
        <f>VLOOKUP(A597,[1]Discos!$C$8:$L$253,10,FALSE)</f>
        <v>6H</v>
      </c>
    </row>
    <row r="598" spans="1:8">
      <c r="A598" s="8" t="s">
        <v>726</v>
      </c>
      <c r="B598" s="4" t="s">
        <v>724</v>
      </c>
      <c r="C598" s="4" t="s">
        <v>10</v>
      </c>
      <c r="D598" s="4">
        <v>267</v>
      </c>
      <c r="E598" s="4">
        <v>22</v>
      </c>
      <c r="F598" s="4">
        <v>39.5</v>
      </c>
      <c r="G598" s="4">
        <v>100</v>
      </c>
      <c r="H598" s="4" t="s">
        <v>120</v>
      </c>
    </row>
    <row r="599" spans="1:8">
      <c r="A599" s="8" t="s">
        <v>727</v>
      </c>
      <c r="B599" s="4" t="s">
        <v>724</v>
      </c>
      <c r="C599" s="4" t="s">
        <v>10</v>
      </c>
      <c r="D599" s="4">
        <v>267</v>
      </c>
      <c r="E599" s="4">
        <v>22</v>
      </c>
      <c r="F599" s="4">
        <v>39.5</v>
      </c>
      <c r="G599" s="4">
        <v>100</v>
      </c>
      <c r="H599" s="4" t="s">
        <v>120</v>
      </c>
    </row>
    <row r="600" spans="1:8">
      <c r="A600" s="3" t="s">
        <v>728</v>
      </c>
      <c r="B600" s="4" t="s">
        <v>729</v>
      </c>
      <c r="C600" s="4" t="s">
        <v>10</v>
      </c>
      <c r="D600" s="4">
        <v>296</v>
      </c>
      <c r="E600" s="4">
        <v>28</v>
      </c>
      <c r="F600" s="4">
        <v>38.5</v>
      </c>
      <c r="G600" s="4">
        <v>68</v>
      </c>
      <c r="H600" s="4" t="s">
        <v>120</v>
      </c>
    </row>
    <row r="601" spans="1:8">
      <c r="A601" s="3" t="s">
        <v>730</v>
      </c>
      <c r="B601" s="4" t="s">
        <v>729</v>
      </c>
      <c r="C601" s="4" t="s">
        <v>10</v>
      </c>
      <c r="D601" s="4">
        <f>VLOOKUP(A601,[1]Discos!$C$8:$H$253,6,FALSE)</f>
        <v>296</v>
      </c>
      <c r="E601" s="4">
        <v>28</v>
      </c>
      <c r="F601" s="4">
        <v>38.5</v>
      </c>
      <c r="G601" s="4">
        <v>68</v>
      </c>
      <c r="H601" s="4" t="str">
        <f>VLOOKUP(A601,[1]Discos!$C$8:$L$253,10,FALSE)</f>
        <v>6H</v>
      </c>
    </row>
    <row r="602" spans="1:8">
      <c r="A602" s="8" t="s">
        <v>731</v>
      </c>
      <c r="B602" s="4" t="s">
        <v>729</v>
      </c>
      <c r="C602" s="4" t="s">
        <v>10</v>
      </c>
      <c r="D602" s="4">
        <v>296</v>
      </c>
      <c r="E602" s="4">
        <v>28</v>
      </c>
      <c r="F602" s="4">
        <v>38.5</v>
      </c>
      <c r="G602" s="4">
        <v>68</v>
      </c>
      <c r="H602" s="4" t="s">
        <v>120</v>
      </c>
    </row>
    <row r="603" spans="1:8">
      <c r="A603" s="8" t="s">
        <v>732</v>
      </c>
      <c r="B603" s="4" t="s">
        <v>729</v>
      </c>
      <c r="C603" s="4" t="s">
        <v>10</v>
      </c>
      <c r="D603" s="4">
        <v>296</v>
      </c>
      <c r="E603" s="4">
        <v>28</v>
      </c>
      <c r="F603" s="4">
        <v>38.5</v>
      </c>
      <c r="G603" s="4">
        <v>68</v>
      </c>
      <c r="H603" s="4" t="s">
        <v>120</v>
      </c>
    </row>
    <row r="604" spans="1:8">
      <c r="A604" s="3" t="s">
        <v>733</v>
      </c>
      <c r="B604" s="4" t="s">
        <v>734</v>
      </c>
      <c r="C604" s="4" t="s">
        <v>10</v>
      </c>
      <c r="D604" s="4">
        <v>300</v>
      </c>
      <c r="E604" s="4">
        <v>28</v>
      </c>
      <c r="F604" s="4">
        <v>38</v>
      </c>
      <c r="G604" s="4">
        <v>100</v>
      </c>
      <c r="H604" s="4" t="s">
        <v>120</v>
      </c>
    </row>
    <row r="605" spans="1:8">
      <c r="A605" s="3" t="s">
        <v>735</v>
      </c>
      <c r="B605" s="4" t="s">
        <v>734</v>
      </c>
      <c r="C605" s="4" t="s">
        <v>10</v>
      </c>
      <c r="D605" s="4">
        <f>VLOOKUP(A605,[1]Discos!$C$8:$H$253,6,FALSE)</f>
        <v>300</v>
      </c>
      <c r="E605" s="4">
        <v>28</v>
      </c>
      <c r="F605" s="4">
        <v>38</v>
      </c>
      <c r="G605" s="4">
        <v>100</v>
      </c>
      <c r="H605" s="4" t="str">
        <f>VLOOKUP(A605,[1]Discos!$C$8:$L$253,10,FALSE)</f>
        <v>6H</v>
      </c>
    </row>
    <row r="606" spans="1:8">
      <c r="A606" s="8" t="s">
        <v>736</v>
      </c>
      <c r="B606" s="4" t="s">
        <v>734</v>
      </c>
      <c r="C606" s="4" t="s">
        <v>10</v>
      </c>
      <c r="D606" s="4">
        <v>300</v>
      </c>
      <c r="E606" s="4">
        <v>28</v>
      </c>
      <c r="F606" s="4">
        <v>38</v>
      </c>
      <c r="G606" s="4">
        <v>100</v>
      </c>
      <c r="H606" s="4" t="s">
        <v>120</v>
      </c>
    </row>
    <row r="607" spans="1:8">
      <c r="A607" s="8" t="s">
        <v>737</v>
      </c>
      <c r="B607" s="4" t="s">
        <v>734</v>
      </c>
      <c r="C607" s="4" t="s">
        <v>10</v>
      </c>
      <c r="D607" s="4">
        <v>300</v>
      </c>
      <c r="E607" s="4">
        <v>28</v>
      </c>
      <c r="F607" s="4">
        <v>38</v>
      </c>
      <c r="G607" s="4">
        <v>100</v>
      </c>
      <c r="H607" s="4" t="s">
        <v>120</v>
      </c>
    </row>
    <row r="608" spans="1:8">
      <c r="A608" s="3" t="s">
        <v>738</v>
      </c>
      <c r="B608" s="4" t="s">
        <v>739</v>
      </c>
      <c r="C608" s="4" t="s">
        <v>10</v>
      </c>
      <c r="D608" s="4">
        <v>259.5</v>
      </c>
      <c r="E608" s="4">
        <v>26</v>
      </c>
      <c r="F608" s="4">
        <v>37</v>
      </c>
      <c r="G608" s="4">
        <v>81.2</v>
      </c>
      <c r="H608" s="4" t="s">
        <v>120</v>
      </c>
    </row>
    <row r="609" spans="1:8">
      <c r="A609" s="3" t="s">
        <v>740</v>
      </c>
      <c r="B609" s="4" t="s">
        <v>739</v>
      </c>
      <c r="C609" s="4" t="s">
        <v>10</v>
      </c>
      <c r="D609" s="4">
        <f>VLOOKUP(A609,[1]Discos!$C$8:$H$253,6,FALSE)</f>
        <v>259.5</v>
      </c>
      <c r="E609" s="4">
        <v>26</v>
      </c>
      <c r="F609" s="4">
        <v>37</v>
      </c>
      <c r="G609" s="4">
        <v>81.2</v>
      </c>
      <c r="H609" s="4" t="str">
        <f>VLOOKUP(A609,[1]Discos!$C$8:$L$253,10,FALSE)</f>
        <v>6H</v>
      </c>
    </row>
    <row r="610" spans="1:8">
      <c r="A610" s="8" t="s">
        <v>741</v>
      </c>
      <c r="B610" s="4" t="s">
        <v>739</v>
      </c>
      <c r="C610" s="4" t="s">
        <v>10</v>
      </c>
      <c r="D610" s="4">
        <v>259.5</v>
      </c>
      <c r="E610" s="4">
        <v>26</v>
      </c>
      <c r="F610" s="4">
        <v>37</v>
      </c>
      <c r="G610" s="4">
        <v>81.2</v>
      </c>
      <c r="H610" s="4" t="s">
        <v>120</v>
      </c>
    </row>
    <row r="611" spans="1:8">
      <c r="A611" s="8" t="s">
        <v>742</v>
      </c>
      <c r="B611" s="4" t="s">
        <v>739</v>
      </c>
      <c r="C611" s="4" t="s">
        <v>10</v>
      </c>
      <c r="D611" s="4">
        <v>259.5</v>
      </c>
      <c r="E611" s="4">
        <v>26</v>
      </c>
      <c r="F611" s="4">
        <v>37</v>
      </c>
      <c r="G611" s="4">
        <v>81.2</v>
      </c>
      <c r="H611" s="4" t="s">
        <v>120</v>
      </c>
    </row>
    <row r="612" spans="1:8">
      <c r="A612" s="3" t="s">
        <v>743</v>
      </c>
      <c r="B612" s="4" t="s">
        <v>744</v>
      </c>
      <c r="C612" s="4" t="s">
        <v>77</v>
      </c>
      <c r="D612" s="4">
        <v>292</v>
      </c>
      <c r="E612" s="4">
        <v>16</v>
      </c>
      <c r="F612" s="4">
        <v>62</v>
      </c>
      <c r="G612" s="4">
        <v>68</v>
      </c>
      <c r="H612" s="4" t="s">
        <v>11</v>
      </c>
    </row>
    <row r="613" spans="1:8">
      <c r="A613" s="3" t="s">
        <v>745</v>
      </c>
      <c r="B613" s="4" t="s">
        <v>744</v>
      </c>
      <c r="C613" s="4" t="s">
        <v>10</v>
      </c>
      <c r="D613" s="4">
        <v>296</v>
      </c>
      <c r="E613" s="4">
        <v>26</v>
      </c>
      <c r="F613" s="4">
        <v>44.5</v>
      </c>
      <c r="G613" s="4">
        <v>68</v>
      </c>
      <c r="H613" s="4" t="s">
        <v>11</v>
      </c>
    </row>
    <row r="614" spans="1:8">
      <c r="A614" s="3" t="s">
        <v>746</v>
      </c>
      <c r="B614" s="4" t="s">
        <v>744</v>
      </c>
      <c r="C614" s="4" t="s">
        <v>77</v>
      </c>
      <c r="D614" s="4">
        <f>VLOOKUP(A614,[1]Discos!$C$8:$H$253,6,FALSE)</f>
        <v>292</v>
      </c>
      <c r="E614" s="4">
        <v>16</v>
      </c>
      <c r="F614" s="4">
        <v>62</v>
      </c>
      <c r="G614" s="4">
        <v>68</v>
      </c>
      <c r="H614" s="4" t="str">
        <f>VLOOKUP(A614,[1]Discos!$C$8:$L$253,10,FALSE)</f>
        <v>5H</v>
      </c>
    </row>
    <row r="615" spans="1:8">
      <c r="A615" s="3" t="s">
        <v>747</v>
      </c>
      <c r="B615" s="4" t="s">
        <v>744</v>
      </c>
      <c r="C615" s="4" t="s">
        <v>10</v>
      </c>
      <c r="D615" s="4">
        <f>VLOOKUP(A615,[1]Discos!$C$8:$H$253,6,FALSE)</f>
        <v>296</v>
      </c>
      <c r="E615" s="4">
        <v>26</v>
      </c>
      <c r="F615" s="4">
        <v>44.5</v>
      </c>
      <c r="G615" s="4">
        <v>68</v>
      </c>
      <c r="H615" s="4" t="str">
        <f>VLOOKUP(A615,[1]Discos!$C$8:$L$253,10,FALSE)</f>
        <v>5H</v>
      </c>
    </row>
    <row r="616" spans="1:8">
      <c r="A616" s="8" t="s">
        <v>748</v>
      </c>
      <c r="B616" s="4" t="s">
        <v>744</v>
      </c>
      <c r="C616" s="4" t="s">
        <v>77</v>
      </c>
      <c r="D616" s="4">
        <v>292</v>
      </c>
      <c r="E616" s="4">
        <v>16</v>
      </c>
      <c r="F616" s="4">
        <v>62</v>
      </c>
      <c r="G616" s="4">
        <v>68</v>
      </c>
      <c r="H616" s="4" t="s">
        <v>11</v>
      </c>
    </row>
    <row r="617" spans="1:8">
      <c r="A617" s="8" t="s">
        <v>749</v>
      </c>
      <c r="B617" s="4" t="s">
        <v>744</v>
      </c>
      <c r="C617" s="4" t="s">
        <v>10</v>
      </c>
      <c r="D617" s="4">
        <v>296</v>
      </c>
      <c r="E617" s="4">
        <v>26</v>
      </c>
      <c r="F617" s="4">
        <v>44.5</v>
      </c>
      <c r="G617" s="4">
        <v>68</v>
      </c>
      <c r="H617" s="4" t="s">
        <v>11</v>
      </c>
    </row>
    <row r="618" spans="1:8">
      <c r="A618" s="8" t="s">
        <v>750</v>
      </c>
      <c r="B618" s="4" t="s">
        <v>744</v>
      </c>
      <c r="C618" s="4" t="s">
        <v>77</v>
      </c>
      <c r="D618" s="4">
        <v>292</v>
      </c>
      <c r="E618" s="4">
        <v>16</v>
      </c>
      <c r="F618" s="4">
        <v>62</v>
      </c>
      <c r="G618" s="4">
        <v>68</v>
      </c>
      <c r="H618" s="4" t="s">
        <v>11</v>
      </c>
    </row>
    <row r="619" spans="1:8">
      <c r="A619" s="8" t="s">
        <v>751</v>
      </c>
      <c r="B619" s="4" t="s">
        <v>744</v>
      </c>
      <c r="C619" s="4" t="s">
        <v>10</v>
      </c>
      <c r="D619" s="4">
        <v>296</v>
      </c>
      <c r="E619" s="4">
        <v>26</v>
      </c>
      <c r="F619" s="4">
        <v>44.5</v>
      </c>
      <c r="G619" s="4">
        <v>68</v>
      </c>
      <c r="H619" s="4" t="s">
        <v>11</v>
      </c>
    </row>
    <row r="620" spans="1:8">
      <c r="A620" s="3" t="s">
        <v>752</v>
      </c>
      <c r="B620" s="4" t="s">
        <v>753</v>
      </c>
      <c r="C620" s="4" t="s">
        <v>10</v>
      </c>
      <c r="D620" s="4">
        <v>280</v>
      </c>
      <c r="E620" s="4">
        <v>24</v>
      </c>
      <c r="F620" s="4">
        <v>44.5</v>
      </c>
      <c r="G620" s="4">
        <v>68</v>
      </c>
      <c r="H620" s="4" t="s">
        <v>16</v>
      </c>
    </row>
    <row r="621" spans="1:8">
      <c r="A621" s="3" t="s">
        <v>754</v>
      </c>
      <c r="B621" s="4" t="s">
        <v>753</v>
      </c>
      <c r="C621" s="4" t="s">
        <v>10</v>
      </c>
      <c r="D621" s="4">
        <f>VLOOKUP(A621,[1]Discos!$C$8:$H$253,6,FALSE)</f>
        <v>280</v>
      </c>
      <c r="E621" s="4">
        <v>24</v>
      </c>
      <c r="F621" s="4">
        <v>44.5</v>
      </c>
      <c r="G621" s="4">
        <v>68</v>
      </c>
      <c r="H621" s="4" t="str">
        <f>VLOOKUP(A621,[1]Discos!$C$8:$L$253,10,FALSE)</f>
        <v>4H</v>
      </c>
    </row>
    <row r="622" spans="1:8">
      <c r="A622" s="8" t="s">
        <v>755</v>
      </c>
      <c r="B622" s="4" t="s">
        <v>753</v>
      </c>
      <c r="C622" s="4" t="s">
        <v>10</v>
      </c>
      <c r="D622" s="4">
        <v>280</v>
      </c>
      <c r="E622" s="4">
        <v>24</v>
      </c>
      <c r="F622" s="4">
        <v>44.5</v>
      </c>
      <c r="G622" s="4">
        <v>68</v>
      </c>
      <c r="H622" s="4" t="s">
        <v>16</v>
      </c>
    </row>
    <row r="623" spans="1:8">
      <c r="A623" s="8" t="s">
        <v>756</v>
      </c>
      <c r="B623" s="4" t="s">
        <v>753</v>
      </c>
      <c r="C623" s="4" t="s">
        <v>10</v>
      </c>
      <c r="D623" s="4">
        <v>280</v>
      </c>
      <c r="E623" s="4">
        <v>24</v>
      </c>
      <c r="F623" s="4">
        <v>44.5</v>
      </c>
      <c r="G623" s="4">
        <v>68</v>
      </c>
      <c r="H623" s="4" t="s">
        <v>16</v>
      </c>
    </row>
    <row r="624" spans="1:8">
      <c r="A624" s="3" t="s">
        <v>757</v>
      </c>
      <c r="B624" s="4" t="s">
        <v>758</v>
      </c>
      <c r="C624" s="4" t="s">
        <v>10</v>
      </c>
      <c r="D624" s="4">
        <v>280</v>
      </c>
      <c r="E624" s="4">
        <v>24</v>
      </c>
      <c r="F624" s="4">
        <v>44</v>
      </c>
      <c r="G624" s="4">
        <v>68</v>
      </c>
      <c r="H624" s="4" t="s">
        <v>11</v>
      </c>
    </row>
    <row r="625" spans="1:8">
      <c r="A625" s="3" t="s">
        <v>759</v>
      </c>
      <c r="B625" s="4" t="s">
        <v>758</v>
      </c>
      <c r="C625" s="4" t="s">
        <v>10</v>
      </c>
      <c r="D625" s="4">
        <f>VLOOKUP(A625,[1]Discos!$C$8:$H$253,6,FALSE)</f>
        <v>280</v>
      </c>
      <c r="E625" s="4">
        <v>24</v>
      </c>
      <c r="F625" s="4">
        <v>44</v>
      </c>
      <c r="G625" s="4">
        <v>68</v>
      </c>
      <c r="H625" s="4" t="str">
        <f>VLOOKUP(A625,[1]Discos!$C$8:$L$253,10,FALSE)</f>
        <v>5H</v>
      </c>
    </row>
    <row r="626" spans="1:8">
      <c r="A626" s="8" t="s">
        <v>760</v>
      </c>
      <c r="B626" s="4" t="s">
        <v>758</v>
      </c>
      <c r="C626" s="4" t="s">
        <v>10</v>
      </c>
      <c r="D626" s="4">
        <v>280</v>
      </c>
      <c r="E626" s="4">
        <v>24</v>
      </c>
      <c r="F626" s="4">
        <v>44</v>
      </c>
      <c r="G626" s="4">
        <v>68</v>
      </c>
      <c r="H626" s="4" t="s">
        <v>11</v>
      </c>
    </row>
    <row r="627" spans="1:8">
      <c r="A627" s="8" t="s">
        <v>761</v>
      </c>
      <c r="B627" s="4" t="s">
        <v>758</v>
      </c>
      <c r="C627" s="4" t="s">
        <v>10</v>
      </c>
      <c r="D627" s="4">
        <v>280</v>
      </c>
      <c r="E627" s="4">
        <v>24</v>
      </c>
      <c r="F627" s="4">
        <v>44</v>
      </c>
      <c r="G627" s="4">
        <v>68</v>
      </c>
      <c r="H627" s="4" t="s">
        <v>11</v>
      </c>
    </row>
    <row r="628" spans="1:8">
      <c r="A628" s="3" t="s">
        <v>762</v>
      </c>
      <c r="B628" s="4" t="s">
        <v>763</v>
      </c>
      <c r="C628" s="4" t="s">
        <v>10</v>
      </c>
      <c r="D628" s="4">
        <v>240</v>
      </c>
      <c r="E628" s="4">
        <v>18</v>
      </c>
      <c r="F628" s="4">
        <v>45.5</v>
      </c>
      <c r="G628" s="4">
        <v>61</v>
      </c>
      <c r="H628" s="4" t="s">
        <v>16</v>
      </c>
    </row>
    <row r="629" spans="1:8">
      <c r="A629" s="3" t="s">
        <v>764</v>
      </c>
      <c r="B629" s="4" t="s">
        <v>763</v>
      </c>
      <c r="C629" s="4" t="s">
        <v>10</v>
      </c>
      <c r="D629" s="4">
        <f>VLOOKUP(A629,[1]Discos!$C$8:$H$253,6,FALSE)</f>
        <v>240</v>
      </c>
      <c r="E629" s="4">
        <v>18</v>
      </c>
      <c r="F629" s="4">
        <v>45.5</v>
      </c>
      <c r="G629" s="4">
        <v>61</v>
      </c>
      <c r="H629" s="4" t="str">
        <f>VLOOKUP(A629,[1]Discos!$C$8:$L$253,10,FALSE)</f>
        <v>4H</v>
      </c>
    </row>
    <row r="630" spans="1:8">
      <c r="A630" s="8" t="s">
        <v>765</v>
      </c>
      <c r="B630" s="4" t="s">
        <v>763</v>
      </c>
      <c r="C630" s="4" t="s">
        <v>10</v>
      </c>
      <c r="D630" s="4">
        <v>240</v>
      </c>
      <c r="E630" s="4">
        <v>18</v>
      </c>
      <c r="F630" s="4">
        <v>45.5</v>
      </c>
      <c r="G630" s="4">
        <v>61</v>
      </c>
      <c r="H630" s="4" t="s">
        <v>16</v>
      </c>
    </row>
    <row r="631" spans="1:8">
      <c r="A631" s="8" t="s">
        <v>766</v>
      </c>
      <c r="B631" s="4" t="s">
        <v>763</v>
      </c>
      <c r="C631" s="4" t="s">
        <v>10</v>
      </c>
      <c r="D631" s="4">
        <v>240</v>
      </c>
      <c r="E631" s="4">
        <v>18</v>
      </c>
      <c r="F631" s="4">
        <v>45.5</v>
      </c>
      <c r="G631" s="4">
        <v>61</v>
      </c>
      <c r="H631" s="4" t="s">
        <v>16</v>
      </c>
    </row>
    <row r="632" spans="1:8">
      <c r="A632" s="3" t="s">
        <v>767</v>
      </c>
      <c r="B632" s="4" t="s">
        <v>768</v>
      </c>
      <c r="C632" s="4" t="s">
        <v>156</v>
      </c>
      <c r="D632" s="4">
        <v>240</v>
      </c>
      <c r="E632" s="4">
        <v>12</v>
      </c>
      <c r="F632" s="4">
        <v>45.5</v>
      </c>
      <c r="G632" s="4">
        <v>61</v>
      </c>
      <c r="H632" s="4" t="s">
        <v>16</v>
      </c>
    </row>
    <row r="633" spans="1:8">
      <c r="A633" s="8" t="s">
        <v>769</v>
      </c>
      <c r="B633" s="4" t="s">
        <v>768</v>
      </c>
      <c r="C633" s="4" t="s">
        <v>156</v>
      </c>
      <c r="D633" s="4">
        <f>VLOOKUP(A633,[1]Discos!$C$8:$H$253,6,FALSE)</f>
        <v>240</v>
      </c>
      <c r="E633" s="4">
        <v>12</v>
      </c>
      <c r="F633" s="4">
        <v>45.5</v>
      </c>
      <c r="G633" s="4">
        <v>61</v>
      </c>
      <c r="H633" s="4" t="str">
        <f>VLOOKUP(A633,[1]Discos!$C$8:$L$253,10,FALSE)</f>
        <v>4H</v>
      </c>
    </row>
    <row r="634" spans="1:8">
      <c r="A634" s="3" t="s">
        <v>770</v>
      </c>
      <c r="B634" s="4" t="s">
        <v>768</v>
      </c>
      <c r="C634" s="4" t="s">
        <v>156</v>
      </c>
      <c r="D634" s="4">
        <v>240</v>
      </c>
      <c r="E634" s="4">
        <v>12</v>
      </c>
      <c r="F634" s="4">
        <v>45.5</v>
      </c>
      <c r="G634" s="4">
        <v>61</v>
      </c>
      <c r="H634" s="4" t="s">
        <v>16</v>
      </c>
    </row>
    <row r="635" spans="1:8">
      <c r="A635" s="3" t="s">
        <v>771</v>
      </c>
      <c r="B635" s="4" t="s">
        <v>768</v>
      </c>
      <c r="C635" s="4" t="s">
        <v>156</v>
      </c>
      <c r="D635" s="4">
        <v>240</v>
      </c>
      <c r="E635" s="4">
        <v>12</v>
      </c>
      <c r="F635" s="4">
        <v>45.5</v>
      </c>
      <c r="G635" s="4">
        <v>61</v>
      </c>
      <c r="H635" s="4" t="s">
        <v>16</v>
      </c>
    </row>
    <row r="636" spans="1:8">
      <c r="A636" s="3" t="s">
        <v>772</v>
      </c>
      <c r="B636" s="4" t="s">
        <v>773</v>
      </c>
      <c r="C636" s="4" t="s">
        <v>10</v>
      </c>
      <c r="D636" s="4">
        <v>257</v>
      </c>
      <c r="E636" s="4">
        <v>22</v>
      </c>
      <c r="F636" s="4">
        <v>49.2</v>
      </c>
      <c r="G636" s="4">
        <v>68</v>
      </c>
      <c r="H636" s="4" t="s">
        <v>16</v>
      </c>
    </row>
    <row r="637" spans="1:8">
      <c r="A637" s="3" t="s">
        <v>774</v>
      </c>
      <c r="B637" s="4" t="s">
        <v>773</v>
      </c>
      <c r="C637" s="4" t="s">
        <v>10</v>
      </c>
      <c r="D637" s="4">
        <f>VLOOKUP(A637,[1]Discos!$C$8:$H$253,6,FALSE)</f>
        <v>257</v>
      </c>
      <c r="E637" s="4">
        <v>22</v>
      </c>
      <c r="F637" s="4">
        <v>49.2</v>
      </c>
      <c r="G637" s="4">
        <v>68</v>
      </c>
      <c r="H637" s="4" t="str">
        <f>VLOOKUP(A637,[1]Discos!$C$8:$L$253,10,FALSE)</f>
        <v>4H</v>
      </c>
    </row>
    <row r="638" spans="1:8">
      <c r="A638" s="8">
        <v>40206710</v>
      </c>
      <c r="B638" s="4" t="s">
        <v>773</v>
      </c>
      <c r="C638" s="4" t="s">
        <v>10</v>
      </c>
      <c r="D638" s="4">
        <v>257</v>
      </c>
      <c r="E638" s="4">
        <v>22</v>
      </c>
      <c r="F638" s="4">
        <v>49.2</v>
      </c>
      <c r="G638" s="4">
        <v>68</v>
      </c>
      <c r="H638" s="4" t="s">
        <v>16</v>
      </c>
    </row>
    <row r="639" spans="1:8">
      <c r="A639" s="8" t="s">
        <v>775</v>
      </c>
      <c r="B639" s="4" t="s">
        <v>773</v>
      </c>
      <c r="C639" s="4" t="s">
        <v>10</v>
      </c>
      <c r="D639" s="4">
        <v>257</v>
      </c>
      <c r="E639" s="4">
        <v>22</v>
      </c>
      <c r="F639" s="4">
        <v>49.2</v>
      </c>
      <c r="G639" s="4">
        <v>68</v>
      </c>
      <c r="H639" s="4" t="s">
        <v>16</v>
      </c>
    </row>
    <row r="640" spans="1:8">
      <c r="A640" s="3" t="s">
        <v>776</v>
      </c>
      <c r="B640" s="4" t="s">
        <v>777</v>
      </c>
      <c r="C640" s="4" t="s">
        <v>10</v>
      </c>
      <c r="D640" s="4">
        <v>260</v>
      </c>
      <c r="E640" s="4">
        <v>22</v>
      </c>
      <c r="F640" s="4">
        <v>44</v>
      </c>
      <c r="G640" s="4">
        <v>68</v>
      </c>
      <c r="H640" s="4" t="s">
        <v>16</v>
      </c>
    </row>
    <row r="641" spans="1:8">
      <c r="A641" s="8" t="s">
        <v>778</v>
      </c>
      <c r="B641" s="4" t="s">
        <v>777</v>
      </c>
      <c r="C641" s="4" t="s">
        <v>10</v>
      </c>
      <c r="D641" s="4">
        <f>VLOOKUP(A641,[1]Discos!$C$8:$H$253,6,FALSE)</f>
        <v>260</v>
      </c>
      <c r="E641" s="4">
        <v>22</v>
      </c>
      <c r="F641" s="4">
        <v>44</v>
      </c>
      <c r="G641" s="4">
        <v>68</v>
      </c>
      <c r="H641" s="4" t="str">
        <f>VLOOKUP(A641,[1]Discos!$C$8:$L$253,10,FALSE)</f>
        <v>4H</v>
      </c>
    </row>
    <row r="642" spans="1:8">
      <c r="A642" s="3" t="s">
        <v>779</v>
      </c>
      <c r="B642" s="4" t="s">
        <v>777</v>
      </c>
      <c r="C642" s="4" t="s">
        <v>10</v>
      </c>
      <c r="D642" s="4">
        <v>260</v>
      </c>
      <c r="E642" s="4">
        <v>22</v>
      </c>
      <c r="F642" s="4">
        <v>44</v>
      </c>
      <c r="G642" s="4">
        <v>68</v>
      </c>
      <c r="H642" s="4" t="s">
        <v>16</v>
      </c>
    </row>
    <row r="643" spans="1:8">
      <c r="A643" s="3" t="s">
        <v>780</v>
      </c>
      <c r="B643" s="4" t="s">
        <v>777</v>
      </c>
      <c r="C643" s="4" t="s">
        <v>10</v>
      </c>
      <c r="D643" s="4">
        <v>260</v>
      </c>
      <c r="E643" s="4">
        <v>22</v>
      </c>
      <c r="F643" s="4">
        <v>44</v>
      </c>
      <c r="G643" s="4">
        <v>68</v>
      </c>
      <c r="H643" s="4" t="s">
        <v>16</v>
      </c>
    </row>
    <row r="644" spans="1:8">
      <c r="A644" s="3" t="s">
        <v>781</v>
      </c>
      <c r="B644" s="4" t="s">
        <v>782</v>
      </c>
      <c r="C644" s="4" t="s">
        <v>10</v>
      </c>
      <c r="D644" s="4">
        <v>260</v>
      </c>
      <c r="E644" s="4">
        <v>22</v>
      </c>
      <c r="F644" s="4">
        <v>44</v>
      </c>
      <c r="G644" s="4">
        <v>61</v>
      </c>
      <c r="H644" s="4" t="s">
        <v>16</v>
      </c>
    </row>
    <row r="645" spans="1:8">
      <c r="A645" s="3" t="s">
        <v>783</v>
      </c>
      <c r="B645" s="4" t="s">
        <v>782</v>
      </c>
      <c r="C645" s="4" t="s">
        <v>10</v>
      </c>
      <c r="D645" s="4">
        <f>VLOOKUP(A645,[1]Discos!$C$8:$H$253,6,FALSE)</f>
        <v>260</v>
      </c>
      <c r="E645" s="4">
        <v>22</v>
      </c>
      <c r="F645" s="4">
        <v>44</v>
      </c>
      <c r="G645" s="4">
        <v>61</v>
      </c>
      <c r="H645" s="4" t="str">
        <f>VLOOKUP(A645,[1]Discos!$C$8:$L$253,10,FALSE)</f>
        <v>4H</v>
      </c>
    </row>
    <row r="646" spans="1:8">
      <c r="A646" s="8" t="s">
        <v>784</v>
      </c>
      <c r="B646" s="4" t="s">
        <v>782</v>
      </c>
      <c r="C646" s="4" t="s">
        <v>10</v>
      </c>
      <c r="D646" s="4">
        <v>260</v>
      </c>
      <c r="E646" s="4">
        <v>22</v>
      </c>
      <c r="F646" s="4">
        <v>44</v>
      </c>
      <c r="G646" s="4">
        <v>61</v>
      </c>
      <c r="H646" s="4" t="s">
        <v>16</v>
      </c>
    </row>
    <row r="647" spans="1:8">
      <c r="A647" s="8" t="s">
        <v>785</v>
      </c>
      <c r="B647" s="4" t="s">
        <v>782</v>
      </c>
      <c r="C647" s="4" t="s">
        <v>10</v>
      </c>
      <c r="D647" s="4">
        <v>260</v>
      </c>
      <c r="E647" s="4">
        <v>22</v>
      </c>
      <c r="F647" s="4">
        <v>44</v>
      </c>
      <c r="G647" s="4">
        <v>61</v>
      </c>
      <c r="H647" s="4" t="s">
        <v>16</v>
      </c>
    </row>
    <row r="648" spans="1:8">
      <c r="A648" s="3" t="s">
        <v>786</v>
      </c>
      <c r="B648" s="4" t="s">
        <v>787</v>
      </c>
      <c r="C648" s="4" t="s">
        <v>10</v>
      </c>
      <c r="D648" s="4">
        <v>258</v>
      </c>
      <c r="E648" s="4">
        <v>22</v>
      </c>
      <c r="F648" s="4">
        <v>44</v>
      </c>
      <c r="G648" s="4">
        <v>61</v>
      </c>
      <c r="H648" s="4" t="s">
        <v>16</v>
      </c>
    </row>
    <row r="649" spans="1:8">
      <c r="A649" s="3" t="s">
        <v>788</v>
      </c>
      <c r="B649" s="4" t="s">
        <v>787</v>
      </c>
      <c r="C649" s="4" t="s">
        <v>10</v>
      </c>
      <c r="D649" s="4">
        <f>VLOOKUP(A649,[1]Discos!$C$8:$H$253,6,FALSE)</f>
        <v>258</v>
      </c>
      <c r="E649" s="4">
        <v>22</v>
      </c>
      <c r="F649" s="4">
        <v>44</v>
      </c>
      <c r="G649" s="4">
        <v>61</v>
      </c>
      <c r="H649" s="4" t="str">
        <f>VLOOKUP(A649,[1]Discos!$C$8:$L$253,10,FALSE)</f>
        <v>4H</v>
      </c>
    </row>
    <row r="650" spans="1:8">
      <c r="A650" s="8" t="s">
        <v>789</v>
      </c>
      <c r="B650" s="4" t="s">
        <v>787</v>
      </c>
      <c r="C650" s="4" t="s">
        <v>10</v>
      </c>
      <c r="D650" s="4">
        <v>258</v>
      </c>
      <c r="E650" s="4">
        <v>22</v>
      </c>
      <c r="F650" s="4">
        <v>44</v>
      </c>
      <c r="G650" s="4">
        <v>61</v>
      </c>
      <c r="H650" s="4" t="s">
        <v>16</v>
      </c>
    </row>
    <row r="651" spans="1:8">
      <c r="A651" s="8" t="s">
        <v>790</v>
      </c>
      <c r="B651" s="4" t="s">
        <v>787</v>
      </c>
      <c r="C651" s="4" t="s">
        <v>10</v>
      </c>
      <c r="D651" s="4">
        <v>258</v>
      </c>
      <c r="E651" s="4">
        <v>22</v>
      </c>
      <c r="F651" s="4">
        <v>44</v>
      </c>
      <c r="G651" s="4">
        <v>61</v>
      </c>
      <c r="H651" s="4" t="s">
        <v>16</v>
      </c>
    </row>
    <row r="652" spans="1:8">
      <c r="A652" s="3" t="s">
        <v>791</v>
      </c>
      <c r="B652" s="4" t="s">
        <v>792</v>
      </c>
      <c r="C652" s="4" t="s">
        <v>10</v>
      </c>
      <c r="D652" s="4">
        <v>280</v>
      </c>
      <c r="E652" s="4">
        <v>28</v>
      </c>
      <c r="F652" s="4">
        <v>49.5</v>
      </c>
      <c r="G652" s="4">
        <v>68</v>
      </c>
      <c r="H652" s="4" t="s">
        <v>11</v>
      </c>
    </row>
    <row r="653" spans="1:8">
      <c r="A653" s="3" t="s">
        <v>793</v>
      </c>
      <c r="B653" s="4" t="s">
        <v>792</v>
      </c>
      <c r="C653" s="4" t="s">
        <v>10</v>
      </c>
      <c r="D653" s="4">
        <f>VLOOKUP(A653,[1]Discos!$C$8:$H$253,6,FALSE)</f>
        <v>280</v>
      </c>
      <c r="E653" s="4">
        <v>28</v>
      </c>
      <c r="F653" s="4">
        <v>49.5</v>
      </c>
      <c r="G653" s="4">
        <v>68</v>
      </c>
      <c r="H653" s="4" t="str">
        <f>VLOOKUP(A653,[1]Discos!$C$8:$L$253,10,FALSE)</f>
        <v>5H</v>
      </c>
    </row>
    <row r="654" spans="1:8">
      <c r="A654" s="8" t="s">
        <v>794</v>
      </c>
      <c r="B654" s="4" t="s">
        <v>792</v>
      </c>
      <c r="C654" s="4" t="s">
        <v>10</v>
      </c>
      <c r="D654" s="4">
        <v>280</v>
      </c>
      <c r="E654" s="4">
        <v>28</v>
      </c>
      <c r="F654" s="4">
        <v>49.5</v>
      </c>
      <c r="G654" s="4">
        <v>68</v>
      </c>
      <c r="H654" s="4" t="s">
        <v>11</v>
      </c>
    </row>
    <row r="655" spans="1:8">
      <c r="A655" s="8" t="s">
        <v>795</v>
      </c>
      <c r="B655" s="4" t="s">
        <v>792</v>
      </c>
      <c r="C655" s="4" t="s">
        <v>10</v>
      </c>
      <c r="D655" s="4">
        <v>280</v>
      </c>
      <c r="E655" s="4">
        <v>28</v>
      </c>
      <c r="F655" s="4">
        <v>49.5</v>
      </c>
      <c r="G655" s="4">
        <v>68</v>
      </c>
      <c r="H655" s="4" t="s">
        <v>11</v>
      </c>
    </row>
    <row r="656" spans="1:8">
      <c r="A656" s="3" t="s">
        <v>796</v>
      </c>
      <c r="B656" s="4" t="s">
        <v>797</v>
      </c>
      <c r="C656" s="4" t="s">
        <v>10</v>
      </c>
      <c r="D656" s="4">
        <v>320</v>
      </c>
      <c r="E656" s="4">
        <v>28</v>
      </c>
      <c r="F656" s="4">
        <v>44</v>
      </c>
      <c r="G656" s="4">
        <v>68</v>
      </c>
      <c r="H656" s="4" t="s">
        <v>11</v>
      </c>
    </row>
    <row r="657" spans="1:8">
      <c r="A657" s="3" t="s">
        <v>798</v>
      </c>
      <c r="B657" s="4" t="s">
        <v>797</v>
      </c>
      <c r="C657" s="4" t="s">
        <v>10</v>
      </c>
      <c r="D657" s="4">
        <f>VLOOKUP(A657,[1]Discos!$C$8:$H$253,6,FALSE)</f>
        <v>320</v>
      </c>
      <c r="E657" s="4">
        <v>28</v>
      </c>
      <c r="F657" s="4">
        <v>44</v>
      </c>
      <c r="G657" s="4">
        <v>68</v>
      </c>
      <c r="H657" s="4" t="str">
        <f>VLOOKUP(A657,[1]Discos!$C$8:$L$253,10,FALSE)</f>
        <v>5H</v>
      </c>
    </row>
    <row r="658" spans="1:8">
      <c r="A658" s="8" t="s">
        <v>799</v>
      </c>
      <c r="B658" s="4" t="s">
        <v>797</v>
      </c>
      <c r="C658" s="4" t="s">
        <v>10</v>
      </c>
      <c r="D658" s="4">
        <v>320</v>
      </c>
      <c r="E658" s="4">
        <v>28</v>
      </c>
      <c r="F658" s="4">
        <v>44</v>
      </c>
      <c r="G658" s="4">
        <v>68</v>
      </c>
      <c r="H658" s="4" t="s">
        <v>11</v>
      </c>
    </row>
    <row r="659" spans="1:8">
      <c r="A659" s="3" t="s">
        <v>800</v>
      </c>
      <c r="B659" s="4" t="s">
        <v>801</v>
      </c>
      <c r="C659" s="4" t="s">
        <v>156</v>
      </c>
      <c r="D659" s="4">
        <v>247</v>
      </c>
      <c r="E659" s="4">
        <v>13</v>
      </c>
      <c r="F659" s="4">
        <v>34.5</v>
      </c>
      <c r="G659" s="4">
        <v>66</v>
      </c>
      <c r="H659" s="4" t="s">
        <v>16</v>
      </c>
    </row>
    <row r="660" spans="1:8">
      <c r="A660" s="5" t="s">
        <v>802</v>
      </c>
      <c r="B660" s="4" t="s">
        <v>801</v>
      </c>
      <c r="C660" s="4" t="s">
        <v>156</v>
      </c>
      <c r="D660" s="4">
        <f>VLOOKUP(A660,[1]Discos!$C$8:$H$253,6,FALSE)</f>
        <v>247</v>
      </c>
      <c r="E660" s="4">
        <v>13</v>
      </c>
      <c r="F660" s="4">
        <v>34.5</v>
      </c>
      <c r="G660" s="4">
        <v>66</v>
      </c>
      <c r="H660" s="4" t="str">
        <f>VLOOKUP(A660,[1]Discos!$C$8:$L$253,10,FALSE)</f>
        <v>4H</v>
      </c>
    </row>
    <row r="661" spans="1:8">
      <c r="A661" s="5" t="s">
        <v>803</v>
      </c>
      <c r="B661" s="4" t="s">
        <v>801</v>
      </c>
      <c r="C661" s="4" t="s">
        <v>156</v>
      </c>
      <c r="D661" s="4">
        <v>247</v>
      </c>
      <c r="E661" s="4">
        <v>13</v>
      </c>
      <c r="F661" s="4">
        <v>34.5</v>
      </c>
      <c r="G661" s="4">
        <v>66</v>
      </c>
      <c r="H661" s="4" t="s">
        <v>16</v>
      </c>
    </row>
    <row r="662" spans="1:8">
      <c r="A662" s="5" t="s">
        <v>804</v>
      </c>
      <c r="B662" s="4" t="s">
        <v>801</v>
      </c>
      <c r="C662" s="4" t="s">
        <v>156</v>
      </c>
      <c r="D662" s="4">
        <v>247</v>
      </c>
      <c r="E662" s="4">
        <v>13</v>
      </c>
      <c r="F662" s="4">
        <v>34.5</v>
      </c>
      <c r="G662" s="4">
        <v>66</v>
      </c>
      <c r="H662" s="4" t="s">
        <v>16</v>
      </c>
    </row>
    <row r="663" spans="1:8">
      <c r="A663" s="3" t="s">
        <v>805</v>
      </c>
      <c r="B663" s="4" t="s">
        <v>806</v>
      </c>
      <c r="C663" s="4" t="s">
        <v>10</v>
      </c>
      <c r="D663" s="4">
        <v>329</v>
      </c>
      <c r="E663" s="4">
        <v>30</v>
      </c>
      <c r="F663" s="4">
        <v>48</v>
      </c>
      <c r="G663" s="4">
        <v>71</v>
      </c>
      <c r="H663" s="4" t="s">
        <v>11</v>
      </c>
    </row>
    <row r="664" spans="1:8">
      <c r="A664" s="5" t="s">
        <v>807</v>
      </c>
      <c r="B664" s="4" t="s">
        <v>806</v>
      </c>
      <c r="C664" s="4" t="s">
        <v>10</v>
      </c>
      <c r="D664" s="4">
        <f>VLOOKUP(A664,[1]Discos!$C$8:$H$253,6,FALSE)</f>
        <v>329</v>
      </c>
      <c r="E664" s="4">
        <v>30</v>
      </c>
      <c r="F664" s="4">
        <v>48</v>
      </c>
      <c r="G664" s="4">
        <v>71</v>
      </c>
      <c r="H664" s="4" t="str">
        <f>VLOOKUP(A664,[1]Discos!$C$8:$L$253,10,FALSE)</f>
        <v>5H</v>
      </c>
    </row>
    <row r="665" spans="1:8">
      <c r="A665" s="5" t="s">
        <v>808</v>
      </c>
      <c r="B665" s="4" t="s">
        <v>806</v>
      </c>
      <c r="C665" s="4" t="s">
        <v>10</v>
      </c>
      <c r="D665" s="4">
        <v>329</v>
      </c>
      <c r="E665" s="4">
        <v>30</v>
      </c>
      <c r="F665" s="4">
        <v>48</v>
      </c>
      <c r="G665" s="4">
        <v>71</v>
      </c>
      <c r="H665" s="4" t="s">
        <v>11</v>
      </c>
    </row>
    <row r="666" spans="1:8">
      <c r="A666" s="5" t="s">
        <v>809</v>
      </c>
      <c r="B666" s="4" t="s">
        <v>806</v>
      </c>
      <c r="C666" s="4" t="s">
        <v>10</v>
      </c>
      <c r="D666" s="4">
        <v>329</v>
      </c>
      <c r="E666" s="4">
        <v>30</v>
      </c>
      <c r="F666" s="4">
        <v>48</v>
      </c>
      <c r="G666" s="4">
        <v>71</v>
      </c>
      <c r="H666" s="4" t="s">
        <v>11</v>
      </c>
    </row>
    <row r="667" spans="1:8">
      <c r="A667" s="3" t="s">
        <v>810</v>
      </c>
      <c r="B667" s="4" t="s">
        <v>811</v>
      </c>
      <c r="C667" s="4" t="s">
        <v>10</v>
      </c>
      <c r="D667" s="4">
        <v>283</v>
      </c>
      <c r="E667" s="4">
        <v>25.5</v>
      </c>
      <c r="F667" s="4">
        <v>47.7</v>
      </c>
      <c r="G667" s="4">
        <v>71</v>
      </c>
      <c r="H667" s="4" t="s">
        <v>11</v>
      </c>
    </row>
    <row r="668" spans="1:8">
      <c r="A668" s="5" t="s">
        <v>812</v>
      </c>
      <c r="B668" s="4" t="s">
        <v>811</v>
      </c>
      <c r="C668" s="4" t="s">
        <v>10</v>
      </c>
      <c r="D668" s="4">
        <f>VLOOKUP(A668,[1]Discos!$C$8:$H$253,6,FALSE)</f>
        <v>283</v>
      </c>
      <c r="E668" s="4">
        <v>25.5</v>
      </c>
      <c r="F668" s="4">
        <v>47.7</v>
      </c>
      <c r="G668" s="4">
        <v>71</v>
      </c>
      <c r="H668" s="4" t="str">
        <f>VLOOKUP(A668,[1]Discos!$C$8:$L$253,10,FALSE)</f>
        <v>5H</v>
      </c>
    </row>
    <row r="669" spans="1:8">
      <c r="A669" s="5" t="s">
        <v>813</v>
      </c>
      <c r="B669" s="4" t="s">
        <v>811</v>
      </c>
      <c r="C669" s="4" t="s">
        <v>10</v>
      </c>
      <c r="D669" s="4">
        <v>283</v>
      </c>
      <c r="E669" s="4">
        <v>25.5</v>
      </c>
      <c r="F669" s="4">
        <v>47.7</v>
      </c>
      <c r="G669" s="4">
        <v>71</v>
      </c>
      <c r="H669" s="4" t="s">
        <v>11</v>
      </c>
    </row>
    <row r="670" spans="1:8">
      <c r="A670" s="5" t="s">
        <v>814</v>
      </c>
      <c r="B670" s="4" t="s">
        <v>811</v>
      </c>
      <c r="C670" s="4" t="s">
        <v>10</v>
      </c>
      <c r="D670" s="4">
        <v>283</v>
      </c>
      <c r="E670" s="4">
        <v>25.5</v>
      </c>
      <c r="F670" s="4">
        <v>47.7</v>
      </c>
      <c r="G670" s="4">
        <v>71</v>
      </c>
      <c r="H670" s="4" t="s">
        <v>11</v>
      </c>
    </row>
    <row r="671" spans="1:8">
      <c r="A671" s="3" t="s">
        <v>815</v>
      </c>
      <c r="B671" s="4" t="s">
        <v>816</v>
      </c>
      <c r="C671" s="4" t="s">
        <v>10</v>
      </c>
      <c r="D671" s="4">
        <v>238</v>
      </c>
      <c r="E671" s="4">
        <v>20</v>
      </c>
      <c r="F671" s="4">
        <v>41</v>
      </c>
      <c r="G671" s="4">
        <v>61</v>
      </c>
      <c r="H671" s="4" t="s">
        <v>16</v>
      </c>
    </row>
    <row r="672" spans="1:8">
      <c r="A672" s="19" t="s">
        <v>817</v>
      </c>
      <c r="B672" s="4" t="s">
        <v>816</v>
      </c>
      <c r="C672" s="4" t="s">
        <v>10</v>
      </c>
      <c r="D672" s="4">
        <f>VLOOKUP(A672,[1]Discos!$C$8:$H$253,6,FALSE)</f>
        <v>238</v>
      </c>
      <c r="E672" s="4">
        <v>20</v>
      </c>
      <c r="F672" s="4">
        <v>41</v>
      </c>
      <c r="G672" s="4">
        <v>61</v>
      </c>
      <c r="H672" s="4" t="str">
        <f>VLOOKUP(A672,[1]Discos!$C$8:$L$253,10,FALSE)</f>
        <v>4H</v>
      </c>
    </row>
    <row r="673" spans="1:8">
      <c r="A673" s="19" t="s">
        <v>818</v>
      </c>
      <c r="B673" s="4" t="s">
        <v>816</v>
      </c>
      <c r="C673" s="4" t="s">
        <v>10</v>
      </c>
      <c r="D673" s="4">
        <v>238</v>
      </c>
      <c r="E673" s="4">
        <v>20</v>
      </c>
      <c r="F673" s="4">
        <v>41</v>
      </c>
      <c r="G673" s="4">
        <v>61</v>
      </c>
      <c r="H673" s="4" t="s">
        <v>16</v>
      </c>
    </row>
    <row r="674" spans="1:8">
      <c r="A674" s="19" t="s">
        <v>819</v>
      </c>
      <c r="B674" s="4" t="s">
        <v>816</v>
      </c>
      <c r="C674" s="4" t="s">
        <v>10</v>
      </c>
      <c r="D674" s="4">
        <v>238</v>
      </c>
      <c r="E674" s="4">
        <v>20</v>
      </c>
      <c r="F674" s="4">
        <v>41</v>
      </c>
      <c r="G674" s="4">
        <v>61</v>
      </c>
      <c r="H674" s="4" t="s">
        <v>16</v>
      </c>
    </row>
    <row r="675" spans="1:8">
      <c r="A675" s="3" t="s">
        <v>820</v>
      </c>
      <c r="B675" s="4" t="s">
        <v>821</v>
      </c>
      <c r="C675" s="4" t="s">
        <v>10</v>
      </c>
      <c r="D675" s="4">
        <v>269</v>
      </c>
      <c r="E675" s="4">
        <v>22.5</v>
      </c>
      <c r="F675" s="4">
        <v>44</v>
      </c>
      <c r="G675" s="4">
        <v>68</v>
      </c>
      <c r="H675" s="4" t="s">
        <v>11</v>
      </c>
    </row>
    <row r="676" spans="1:8">
      <c r="A676" s="5" t="s">
        <v>822</v>
      </c>
      <c r="B676" s="4" t="s">
        <v>821</v>
      </c>
      <c r="C676" s="4" t="s">
        <v>10</v>
      </c>
      <c r="D676" s="4">
        <f>VLOOKUP(A676,[1]Discos!$C$8:$H$253,6,FALSE)</f>
        <v>269</v>
      </c>
      <c r="E676" s="4">
        <v>22.5</v>
      </c>
      <c r="F676" s="4">
        <v>44</v>
      </c>
      <c r="G676" s="4">
        <v>68</v>
      </c>
      <c r="H676" s="4" t="str">
        <f>VLOOKUP(A676,[1]Discos!$C$8:$L$253,10,FALSE)</f>
        <v>5H</v>
      </c>
    </row>
    <row r="677" spans="1:8">
      <c r="A677" s="5" t="s">
        <v>823</v>
      </c>
      <c r="B677" s="4" t="s">
        <v>821</v>
      </c>
      <c r="C677" s="4" t="s">
        <v>10</v>
      </c>
      <c r="D677" s="4">
        <v>269</v>
      </c>
      <c r="E677" s="4">
        <v>22.5</v>
      </c>
      <c r="F677" s="4">
        <v>44</v>
      </c>
      <c r="G677" s="4">
        <v>68</v>
      </c>
      <c r="H677" s="4" t="s">
        <v>11</v>
      </c>
    </row>
    <row r="678" spans="1:8">
      <c r="A678" s="5" t="s">
        <v>824</v>
      </c>
      <c r="B678" s="4" t="s">
        <v>821</v>
      </c>
      <c r="C678" s="4" t="s">
        <v>10</v>
      </c>
      <c r="D678" s="4">
        <v>269</v>
      </c>
      <c r="E678" s="4">
        <v>22.5</v>
      </c>
      <c r="F678" s="4">
        <v>44</v>
      </c>
      <c r="G678" s="4">
        <v>68</v>
      </c>
      <c r="H678" s="4" t="s">
        <v>11</v>
      </c>
    </row>
    <row r="679" spans="1:8">
      <c r="A679" s="3" t="s">
        <v>825</v>
      </c>
      <c r="B679" s="4" t="s">
        <v>826</v>
      </c>
      <c r="C679" s="4" t="s">
        <v>10</v>
      </c>
      <c r="D679" s="4">
        <v>280</v>
      </c>
      <c r="E679" s="4">
        <v>24</v>
      </c>
      <c r="F679" s="4">
        <v>44</v>
      </c>
      <c r="G679" s="4">
        <v>68</v>
      </c>
      <c r="H679" s="4" t="s">
        <v>11</v>
      </c>
    </row>
    <row r="680" spans="1:8">
      <c r="A680" s="5" t="s">
        <v>827</v>
      </c>
      <c r="B680" s="4" t="s">
        <v>826</v>
      </c>
      <c r="C680" s="4" t="s">
        <v>10</v>
      </c>
      <c r="D680" s="4">
        <f>VLOOKUP(A680,[1]Discos!$C$8:$H$253,6,FALSE)</f>
        <v>280</v>
      </c>
      <c r="E680" s="4">
        <v>24</v>
      </c>
      <c r="F680" s="4">
        <v>44</v>
      </c>
      <c r="G680" s="4">
        <v>68</v>
      </c>
      <c r="H680" s="4" t="str">
        <f>VLOOKUP(A680,[1]Discos!$C$8:$L$253,10,FALSE)</f>
        <v>5H</v>
      </c>
    </row>
    <row r="681" spans="1:8">
      <c r="A681" s="5" t="s">
        <v>828</v>
      </c>
      <c r="B681" s="4" t="s">
        <v>826</v>
      </c>
      <c r="C681" s="4" t="s">
        <v>10</v>
      </c>
      <c r="D681" s="4">
        <v>280</v>
      </c>
      <c r="E681" s="4">
        <v>24</v>
      </c>
      <c r="F681" s="4">
        <v>44</v>
      </c>
      <c r="G681" s="4">
        <v>68</v>
      </c>
      <c r="H681" s="4" t="s">
        <v>11</v>
      </c>
    </row>
    <row r="682" spans="1:8">
      <c r="A682" s="5" t="s">
        <v>829</v>
      </c>
      <c r="B682" s="4" t="s">
        <v>826</v>
      </c>
      <c r="C682" s="4" t="s">
        <v>10</v>
      </c>
      <c r="D682" s="4">
        <v>280</v>
      </c>
      <c r="E682" s="4">
        <v>24</v>
      </c>
      <c r="F682" s="4">
        <v>44</v>
      </c>
      <c r="G682" s="4">
        <v>68</v>
      </c>
      <c r="H682" s="4" t="s">
        <v>11</v>
      </c>
    </row>
    <row r="683" spans="1:8">
      <c r="A683" s="3" t="s">
        <v>830</v>
      </c>
      <c r="B683" s="4" t="s">
        <v>831</v>
      </c>
      <c r="C683" s="4" t="s">
        <v>10</v>
      </c>
      <c r="D683" s="4">
        <v>238</v>
      </c>
      <c r="E683" s="4">
        <v>17</v>
      </c>
      <c r="F683" s="4">
        <v>41</v>
      </c>
      <c r="G683" s="4">
        <v>61</v>
      </c>
      <c r="H683" s="4" t="s">
        <v>832</v>
      </c>
    </row>
    <row r="684" spans="1:8">
      <c r="A684" s="3" t="s">
        <v>833</v>
      </c>
      <c r="B684" s="4" t="s">
        <v>831</v>
      </c>
      <c r="C684" s="4" t="s">
        <v>10</v>
      </c>
      <c r="D684" s="4">
        <f>VLOOKUP(A684,[1]Discos!$C$8:$H$253,6,FALSE)</f>
        <v>238</v>
      </c>
      <c r="E684" s="4">
        <v>17</v>
      </c>
      <c r="F684" s="4">
        <v>41</v>
      </c>
      <c r="G684" s="4">
        <v>61</v>
      </c>
      <c r="H684" s="4" t="str">
        <f>VLOOKUP(A684,[1]Discos!$C$8:$L$253,10,FALSE)</f>
        <v>3H</v>
      </c>
    </row>
    <row r="685" spans="1:8">
      <c r="A685" s="5" t="s">
        <v>834</v>
      </c>
      <c r="B685" s="4" t="s">
        <v>831</v>
      </c>
      <c r="C685" s="4" t="s">
        <v>10</v>
      </c>
      <c r="D685" s="4">
        <v>238</v>
      </c>
      <c r="E685" s="4">
        <v>17</v>
      </c>
      <c r="F685" s="4">
        <v>41</v>
      </c>
      <c r="G685" s="4">
        <v>61</v>
      </c>
      <c r="H685" s="4" t="s">
        <v>832</v>
      </c>
    </row>
    <row r="686" spans="1:8">
      <c r="A686" s="5" t="s">
        <v>835</v>
      </c>
      <c r="B686" s="4" t="s">
        <v>831</v>
      </c>
      <c r="C686" s="4" t="s">
        <v>10</v>
      </c>
      <c r="D686" s="4">
        <v>238</v>
      </c>
      <c r="E686" s="4">
        <v>17</v>
      </c>
      <c r="F686" s="4">
        <v>41</v>
      </c>
      <c r="G686" s="4">
        <v>61</v>
      </c>
      <c r="H686" s="4" t="s">
        <v>832</v>
      </c>
    </row>
    <row r="687" spans="1:8">
      <c r="A687" s="3" t="s">
        <v>836</v>
      </c>
      <c r="B687" s="4" t="s">
        <v>837</v>
      </c>
      <c r="C687" s="4" t="s">
        <v>156</v>
      </c>
      <c r="D687" s="4">
        <v>259</v>
      </c>
      <c r="E687" s="4">
        <v>12</v>
      </c>
      <c r="F687" s="4">
        <v>41</v>
      </c>
      <c r="G687" s="4">
        <v>61</v>
      </c>
      <c r="H687" s="4" t="s">
        <v>16</v>
      </c>
    </row>
    <row r="688" spans="1:8">
      <c r="A688" s="3" t="s">
        <v>838</v>
      </c>
      <c r="B688" s="4" t="s">
        <v>837</v>
      </c>
      <c r="C688" s="4" t="s">
        <v>156</v>
      </c>
      <c r="D688" s="4">
        <f>VLOOKUP(A688,[1]Discos!$C$8:$H$253,6,FALSE)</f>
        <v>259</v>
      </c>
      <c r="E688" s="4">
        <v>12</v>
      </c>
      <c r="F688" s="4">
        <v>41</v>
      </c>
      <c r="G688" s="4">
        <v>61</v>
      </c>
      <c r="H688" s="4" t="str">
        <f>VLOOKUP(A688,[1]Discos!$C$8:$L$253,10,FALSE)</f>
        <v>4H</v>
      </c>
    </row>
    <row r="689" spans="1:8">
      <c r="A689" s="5">
        <v>7701208252</v>
      </c>
      <c r="B689" s="4" t="s">
        <v>837</v>
      </c>
      <c r="C689" s="4" t="s">
        <v>156</v>
      </c>
      <c r="D689" s="4">
        <v>259</v>
      </c>
      <c r="E689" s="4">
        <v>12</v>
      </c>
      <c r="F689" s="4">
        <v>41</v>
      </c>
      <c r="G689" s="4">
        <v>61</v>
      </c>
      <c r="H689" s="4" t="s">
        <v>16</v>
      </c>
    </row>
    <row r="690" spans="1:8">
      <c r="A690" s="5" t="s">
        <v>839</v>
      </c>
      <c r="B690" s="4" t="s">
        <v>837</v>
      </c>
      <c r="C690" s="4" t="s">
        <v>156</v>
      </c>
      <c r="D690" s="4">
        <v>259</v>
      </c>
      <c r="E690" s="4">
        <v>12</v>
      </c>
      <c r="F690" s="4">
        <v>41</v>
      </c>
      <c r="G690" s="4">
        <v>61</v>
      </c>
      <c r="H690" s="4" t="s">
        <v>16</v>
      </c>
    </row>
    <row r="691" spans="1:8">
      <c r="A691" s="3" t="s">
        <v>840</v>
      </c>
      <c r="B691" s="4" t="s">
        <v>841</v>
      </c>
      <c r="C691" s="4" t="s">
        <v>10</v>
      </c>
      <c r="D691" s="4">
        <v>259</v>
      </c>
      <c r="E691" s="4">
        <v>21</v>
      </c>
      <c r="F691" s="4">
        <v>41</v>
      </c>
      <c r="G691" s="4">
        <v>61</v>
      </c>
      <c r="H691" s="4" t="s">
        <v>16</v>
      </c>
    </row>
    <row r="692" spans="1:8">
      <c r="A692" s="5" t="s">
        <v>842</v>
      </c>
      <c r="B692" s="4" t="s">
        <v>841</v>
      </c>
      <c r="C692" s="4" t="s">
        <v>10</v>
      </c>
      <c r="D692" s="4">
        <f>VLOOKUP(A692,[1]Discos!$C$8:$H$253,6,FALSE)</f>
        <v>259</v>
      </c>
      <c r="E692" s="4">
        <v>21</v>
      </c>
      <c r="F692" s="4">
        <v>41</v>
      </c>
      <c r="G692" s="4">
        <v>61</v>
      </c>
      <c r="H692" s="4" t="str">
        <f>VLOOKUP(A692,[1]Discos!$C$8:$L$253,10,FALSE)</f>
        <v>4H</v>
      </c>
    </row>
    <row r="693" spans="1:8">
      <c r="A693" s="5" t="s">
        <v>843</v>
      </c>
      <c r="B693" s="4" t="s">
        <v>841</v>
      </c>
      <c r="C693" s="4" t="s">
        <v>10</v>
      </c>
      <c r="D693" s="4">
        <v>259</v>
      </c>
      <c r="E693" s="4">
        <v>21</v>
      </c>
      <c r="F693" s="4">
        <v>41</v>
      </c>
      <c r="G693" s="4">
        <v>61</v>
      </c>
      <c r="H693" s="4" t="s">
        <v>16</v>
      </c>
    </row>
    <row r="694" spans="1:8">
      <c r="A694" s="5" t="s">
        <v>844</v>
      </c>
      <c r="B694" s="4" t="s">
        <v>841</v>
      </c>
      <c r="C694" s="4" t="s">
        <v>10</v>
      </c>
      <c r="D694" s="4">
        <v>259</v>
      </c>
      <c r="E694" s="4">
        <v>21</v>
      </c>
      <c r="F694" s="4">
        <v>41</v>
      </c>
      <c r="G694" s="4">
        <v>61</v>
      </c>
      <c r="H694" s="4" t="s">
        <v>16</v>
      </c>
    </row>
    <row r="695" spans="1:8">
      <c r="A695" s="3" t="s">
        <v>845</v>
      </c>
      <c r="B695" s="4" t="s">
        <v>846</v>
      </c>
      <c r="C695" s="4" t="s">
        <v>10</v>
      </c>
      <c r="D695" s="4">
        <v>258</v>
      </c>
      <c r="E695" s="4">
        <v>22</v>
      </c>
      <c r="F695" s="4">
        <v>44</v>
      </c>
      <c r="G695" s="4">
        <v>61</v>
      </c>
      <c r="H695" s="4" t="s">
        <v>16</v>
      </c>
    </row>
    <row r="696" spans="1:8">
      <c r="A696" s="5" t="s">
        <v>847</v>
      </c>
      <c r="B696" s="4" t="s">
        <v>846</v>
      </c>
      <c r="C696" s="4" t="s">
        <v>10</v>
      </c>
      <c r="D696" s="4">
        <f>VLOOKUP(A696,[1]Discos!$C$8:$H$253,6,FALSE)</f>
        <v>258</v>
      </c>
      <c r="E696" s="4">
        <v>22</v>
      </c>
      <c r="F696" s="4">
        <v>44</v>
      </c>
      <c r="G696" s="4">
        <v>61</v>
      </c>
      <c r="H696" s="4" t="str">
        <f>VLOOKUP(A696,[1]Discos!$C$8:$L$253,10,FALSE)</f>
        <v>4H</v>
      </c>
    </row>
    <row r="697" spans="1:8">
      <c r="A697" s="5" t="s">
        <v>848</v>
      </c>
      <c r="B697" s="4" t="s">
        <v>846</v>
      </c>
      <c r="C697" s="4" t="s">
        <v>10</v>
      </c>
      <c r="D697" s="4">
        <v>258</v>
      </c>
      <c r="E697" s="4">
        <v>22</v>
      </c>
      <c r="F697" s="4">
        <v>44</v>
      </c>
      <c r="G697" s="4">
        <v>61</v>
      </c>
      <c r="H697" s="4" t="s">
        <v>16</v>
      </c>
    </row>
    <row r="698" spans="1:8">
      <c r="A698" s="5" t="s">
        <v>849</v>
      </c>
      <c r="B698" s="4" t="s">
        <v>846</v>
      </c>
      <c r="C698" s="4" t="s">
        <v>10</v>
      </c>
      <c r="D698" s="4">
        <v>258</v>
      </c>
      <c r="E698" s="4">
        <v>22</v>
      </c>
      <c r="F698" s="4">
        <v>44</v>
      </c>
      <c r="G698" s="4">
        <v>61</v>
      </c>
      <c r="H698" s="4" t="s">
        <v>16</v>
      </c>
    </row>
    <row r="699" spans="1:8">
      <c r="A699" s="3" t="s">
        <v>850</v>
      </c>
      <c r="B699" s="4" t="s">
        <v>851</v>
      </c>
      <c r="C699" s="4" t="s">
        <v>10</v>
      </c>
      <c r="D699" s="4">
        <v>280</v>
      </c>
      <c r="E699" s="4">
        <v>24</v>
      </c>
      <c r="F699" s="4">
        <v>44.5</v>
      </c>
      <c r="G699" s="4">
        <v>61</v>
      </c>
      <c r="H699" s="4" t="s">
        <v>16</v>
      </c>
    </row>
    <row r="700" spans="1:8">
      <c r="A700" s="5" t="s">
        <v>852</v>
      </c>
      <c r="B700" s="4" t="s">
        <v>851</v>
      </c>
      <c r="C700" s="4" t="s">
        <v>10</v>
      </c>
      <c r="D700" s="4">
        <f>VLOOKUP(A700,[1]Discos!$C$8:$H$253,6,FALSE)</f>
        <v>280</v>
      </c>
      <c r="E700" s="4">
        <v>24</v>
      </c>
      <c r="F700" s="4">
        <v>44.5</v>
      </c>
      <c r="G700" s="4">
        <v>61</v>
      </c>
      <c r="H700" s="4" t="str">
        <f>VLOOKUP(A700,[1]Discos!$C$8:$L$253,10,FALSE)</f>
        <v>4H</v>
      </c>
    </row>
    <row r="701" spans="1:8">
      <c r="A701" s="5">
        <v>7701206118</v>
      </c>
      <c r="B701" s="4" t="s">
        <v>851</v>
      </c>
      <c r="C701" s="4" t="s">
        <v>10</v>
      </c>
      <c r="D701" s="4">
        <v>280</v>
      </c>
      <c r="E701" s="4">
        <v>24</v>
      </c>
      <c r="F701" s="4">
        <v>44.5</v>
      </c>
      <c r="G701" s="4">
        <v>61</v>
      </c>
      <c r="H701" s="4" t="s">
        <v>16</v>
      </c>
    </row>
    <row r="702" spans="1:8">
      <c r="A702" s="5" t="s">
        <v>853</v>
      </c>
      <c r="B702" s="4" t="s">
        <v>851</v>
      </c>
      <c r="C702" s="4" t="s">
        <v>10</v>
      </c>
      <c r="D702" s="4">
        <v>280</v>
      </c>
      <c r="E702" s="4">
        <v>24</v>
      </c>
      <c r="F702" s="4">
        <v>44.5</v>
      </c>
      <c r="G702" s="4">
        <v>61</v>
      </c>
      <c r="H702" s="4" t="s">
        <v>16</v>
      </c>
    </row>
    <row r="703" spans="1:8">
      <c r="A703" s="3" t="s">
        <v>854</v>
      </c>
      <c r="B703" s="4" t="s">
        <v>855</v>
      </c>
      <c r="C703" s="4" t="s">
        <v>10</v>
      </c>
      <c r="D703" s="4">
        <v>262</v>
      </c>
      <c r="E703" s="4">
        <v>22</v>
      </c>
      <c r="F703" s="4">
        <v>44</v>
      </c>
      <c r="G703" s="4">
        <v>61</v>
      </c>
      <c r="H703" s="4" t="s">
        <v>16</v>
      </c>
    </row>
    <row r="704" spans="1:8">
      <c r="A704" s="5" t="s">
        <v>856</v>
      </c>
      <c r="B704" s="4" t="s">
        <v>855</v>
      </c>
      <c r="C704" s="4" t="s">
        <v>10</v>
      </c>
      <c r="D704" s="4">
        <f>VLOOKUP(A704,[1]Discos!$C$8:$H$253,6,FALSE)</f>
        <v>262</v>
      </c>
      <c r="E704" s="4">
        <v>22</v>
      </c>
      <c r="F704" s="4">
        <v>44</v>
      </c>
      <c r="G704" s="4">
        <v>61</v>
      </c>
      <c r="H704" s="4" t="str">
        <f>VLOOKUP(A704,[1]Discos!$C$8:$L$253,10,FALSE)</f>
        <v>4H</v>
      </c>
    </row>
    <row r="705" spans="1:8">
      <c r="A705" s="5">
        <v>6001001601</v>
      </c>
      <c r="B705" s="4" t="s">
        <v>855</v>
      </c>
      <c r="C705" s="4" t="s">
        <v>10</v>
      </c>
      <c r="D705" s="4">
        <v>262</v>
      </c>
      <c r="E705" s="4">
        <v>22</v>
      </c>
      <c r="F705" s="4">
        <v>44</v>
      </c>
      <c r="G705" s="4">
        <v>61</v>
      </c>
      <c r="H705" s="4" t="s">
        <v>16</v>
      </c>
    </row>
    <row r="706" spans="1:8">
      <c r="A706" s="5" t="s">
        <v>857</v>
      </c>
      <c r="B706" s="4" t="s">
        <v>855</v>
      </c>
      <c r="C706" s="4" t="s">
        <v>10</v>
      </c>
      <c r="D706" s="4">
        <v>262</v>
      </c>
      <c r="E706" s="4">
        <v>22</v>
      </c>
      <c r="F706" s="4">
        <v>44</v>
      </c>
      <c r="G706" s="4">
        <v>61</v>
      </c>
      <c r="H706" s="4" t="s">
        <v>16</v>
      </c>
    </row>
    <row r="707" spans="1:8">
      <c r="A707" s="3" t="s">
        <v>858</v>
      </c>
      <c r="B707" s="4" t="s">
        <v>859</v>
      </c>
      <c r="C707" s="4" t="s">
        <v>22</v>
      </c>
      <c r="D707" s="4">
        <v>274</v>
      </c>
      <c r="E707" s="4">
        <v>11</v>
      </c>
      <c r="F707" s="4">
        <v>82.2</v>
      </c>
      <c r="G707" s="4">
        <v>62</v>
      </c>
      <c r="H707" s="4" t="s">
        <v>16</v>
      </c>
    </row>
    <row r="708" spans="1:8">
      <c r="A708" s="5" t="s">
        <v>860</v>
      </c>
      <c r="B708" s="4" t="s">
        <v>859</v>
      </c>
      <c r="C708" s="4" t="s">
        <v>22</v>
      </c>
      <c r="D708" s="4">
        <f>VLOOKUP(A708,[1]Discos!$C$8:$H$253,6,FALSE)</f>
        <v>274</v>
      </c>
      <c r="E708" s="4">
        <v>11</v>
      </c>
      <c r="F708" s="4">
        <v>82.2</v>
      </c>
      <c r="G708" s="4">
        <v>62</v>
      </c>
      <c r="H708" s="4" t="str">
        <f>VLOOKUP(A708,[1]Discos!$C$8:$L$253,10,FALSE)</f>
        <v>4H</v>
      </c>
    </row>
    <row r="709" spans="1:8">
      <c r="A709" s="5">
        <v>7701206327</v>
      </c>
      <c r="B709" s="4" t="s">
        <v>859</v>
      </c>
      <c r="C709" s="4" t="s">
        <v>22</v>
      </c>
      <c r="D709" s="4">
        <v>274</v>
      </c>
      <c r="E709" s="4">
        <v>11</v>
      </c>
      <c r="F709" s="4">
        <v>82.2</v>
      </c>
      <c r="G709" s="4">
        <v>62</v>
      </c>
      <c r="H709" s="4" t="s">
        <v>16</v>
      </c>
    </row>
    <row r="710" spans="1:8">
      <c r="A710" s="5" t="s">
        <v>861</v>
      </c>
      <c r="B710" s="4" t="s">
        <v>859</v>
      </c>
      <c r="C710" s="4" t="s">
        <v>22</v>
      </c>
      <c r="D710" s="4">
        <v>274</v>
      </c>
      <c r="E710" s="4">
        <v>11</v>
      </c>
      <c r="F710" s="4">
        <v>82.2</v>
      </c>
      <c r="G710" s="4">
        <v>62</v>
      </c>
      <c r="H710" s="4" t="s">
        <v>16</v>
      </c>
    </row>
    <row r="711" spans="1:8">
      <c r="A711" s="3" t="s">
        <v>862</v>
      </c>
      <c r="B711" s="4" t="s">
        <v>863</v>
      </c>
      <c r="C711" s="4" t="s">
        <v>10</v>
      </c>
      <c r="D711" s="4">
        <v>238</v>
      </c>
      <c r="E711" s="4">
        <v>20</v>
      </c>
      <c r="F711" s="4">
        <v>46</v>
      </c>
      <c r="G711" s="4">
        <v>61</v>
      </c>
      <c r="H711" s="4" t="s">
        <v>16</v>
      </c>
    </row>
    <row r="712" spans="1:8">
      <c r="A712" s="3" t="s">
        <v>864</v>
      </c>
      <c r="B712" s="4" t="s">
        <v>863</v>
      </c>
      <c r="C712" s="4" t="s">
        <v>10</v>
      </c>
      <c r="D712" s="4">
        <f>VLOOKUP(A712,[1]Discos!$C$8:$H$253,6,FALSE)</f>
        <v>238</v>
      </c>
      <c r="E712" s="4">
        <v>20</v>
      </c>
      <c r="F712" s="4">
        <v>46</v>
      </c>
      <c r="G712" s="4">
        <v>61</v>
      </c>
      <c r="H712" s="4" t="str">
        <f>VLOOKUP(A712,[1]Discos!$C$8:$L$253,10,FALSE)</f>
        <v>4H</v>
      </c>
    </row>
    <row r="713" spans="1:8">
      <c r="A713" s="5">
        <v>7700754287</v>
      </c>
      <c r="B713" s="4" t="s">
        <v>863</v>
      </c>
      <c r="C713" s="4" t="s">
        <v>10</v>
      </c>
      <c r="D713" s="4">
        <v>238</v>
      </c>
      <c r="E713" s="4">
        <v>20</v>
      </c>
      <c r="F713" s="4">
        <v>46</v>
      </c>
      <c r="G713" s="4">
        <v>61</v>
      </c>
      <c r="H713" s="4" t="s">
        <v>16</v>
      </c>
    </row>
    <row r="714" spans="1:8">
      <c r="A714" s="5" t="s">
        <v>865</v>
      </c>
      <c r="B714" s="4" t="s">
        <v>863</v>
      </c>
      <c r="C714" s="4" t="s">
        <v>10</v>
      </c>
      <c r="D714" s="4">
        <v>238</v>
      </c>
      <c r="E714" s="4">
        <v>20</v>
      </c>
      <c r="F714" s="4">
        <v>46</v>
      </c>
      <c r="G714" s="4">
        <v>61</v>
      </c>
      <c r="H714" s="4" t="s">
        <v>16</v>
      </c>
    </row>
    <row r="715" spans="1:8">
      <c r="A715" s="3" t="s">
        <v>866</v>
      </c>
      <c r="B715" s="4" t="s">
        <v>867</v>
      </c>
      <c r="C715" s="4" t="s">
        <v>156</v>
      </c>
      <c r="D715" s="4">
        <v>238</v>
      </c>
      <c r="E715" s="4">
        <v>12</v>
      </c>
      <c r="F715" s="4">
        <v>41</v>
      </c>
      <c r="G715" s="4">
        <v>61</v>
      </c>
      <c r="H715" s="4" t="s">
        <v>16</v>
      </c>
    </row>
    <row r="716" spans="1:8">
      <c r="A716" s="3" t="s">
        <v>868</v>
      </c>
      <c r="B716" s="4" t="s">
        <v>867</v>
      </c>
      <c r="C716" s="4" t="s">
        <v>156</v>
      </c>
      <c r="D716" s="4">
        <f>VLOOKUP(A716,[1]Discos!$C$8:$H$253,6,FALSE)</f>
        <v>238</v>
      </c>
      <c r="E716" s="4">
        <v>12</v>
      </c>
      <c r="F716" s="4">
        <v>41</v>
      </c>
      <c r="G716" s="4">
        <v>61</v>
      </c>
      <c r="H716" s="4" t="str">
        <f>VLOOKUP(A716,[1]Discos!$C$8:$L$253,10,FALSE)</f>
        <v>4H</v>
      </c>
    </row>
    <row r="717" spans="1:8">
      <c r="A717" s="5">
        <v>7700704705</v>
      </c>
      <c r="B717" s="4" t="s">
        <v>867</v>
      </c>
      <c r="C717" s="4" t="s">
        <v>156</v>
      </c>
      <c r="D717" s="4">
        <v>238</v>
      </c>
      <c r="E717" s="4">
        <v>12</v>
      </c>
      <c r="F717" s="4">
        <v>41</v>
      </c>
      <c r="G717" s="4">
        <v>61</v>
      </c>
      <c r="H717" s="4" t="s">
        <v>16</v>
      </c>
    </row>
    <row r="718" spans="1:8">
      <c r="A718" s="5" t="s">
        <v>869</v>
      </c>
      <c r="B718" s="4" t="s">
        <v>867</v>
      </c>
      <c r="C718" s="4" t="s">
        <v>156</v>
      </c>
      <c r="D718" s="4">
        <v>238</v>
      </c>
      <c r="E718" s="4">
        <v>12</v>
      </c>
      <c r="F718" s="4">
        <v>41</v>
      </c>
      <c r="G718" s="4">
        <v>61</v>
      </c>
      <c r="H718" s="4" t="s">
        <v>16</v>
      </c>
    </row>
    <row r="719" spans="1:8">
      <c r="A719" s="3" t="s">
        <v>870</v>
      </c>
      <c r="B719" s="4" t="s">
        <v>871</v>
      </c>
      <c r="C719" s="4" t="s">
        <v>10</v>
      </c>
      <c r="D719" s="4">
        <v>305</v>
      </c>
      <c r="E719" s="4">
        <v>26</v>
      </c>
      <c r="F719" s="4">
        <v>46</v>
      </c>
      <c r="G719" s="4">
        <v>60</v>
      </c>
      <c r="H719" s="4" t="s">
        <v>11</v>
      </c>
    </row>
    <row r="720" spans="1:8">
      <c r="A720" s="3" t="s">
        <v>872</v>
      </c>
      <c r="B720" s="4" t="s">
        <v>871</v>
      </c>
      <c r="C720" s="4" t="s">
        <v>10</v>
      </c>
      <c r="D720" s="4">
        <f>VLOOKUP(A720,[1]Discos!$C$8:$H$253,6,FALSE)</f>
        <v>305</v>
      </c>
      <c r="E720" s="4">
        <v>26</v>
      </c>
      <c r="F720" s="4">
        <v>46</v>
      </c>
      <c r="G720" s="4">
        <v>60</v>
      </c>
      <c r="H720" s="4" t="str">
        <f>VLOOKUP(A720,[1]Discos!$C$8:$L$253,10,FALSE)</f>
        <v>5H</v>
      </c>
    </row>
    <row r="721" spans="1:8">
      <c r="A721" s="5" t="s">
        <v>873</v>
      </c>
      <c r="B721" s="4" t="s">
        <v>871</v>
      </c>
      <c r="C721" s="4" t="s">
        <v>10</v>
      </c>
      <c r="D721" s="4">
        <v>305</v>
      </c>
      <c r="E721" s="4">
        <v>26</v>
      </c>
      <c r="F721" s="4">
        <v>46</v>
      </c>
      <c r="G721" s="4">
        <v>60</v>
      </c>
      <c r="H721" s="4" t="s">
        <v>11</v>
      </c>
    </row>
    <row r="722" spans="1:8">
      <c r="A722" s="5" t="s">
        <v>874</v>
      </c>
      <c r="B722" s="4" t="s">
        <v>875</v>
      </c>
      <c r="C722" s="4" t="s">
        <v>22</v>
      </c>
      <c r="D722" s="4">
        <v>262</v>
      </c>
      <c r="E722" s="4">
        <v>10</v>
      </c>
      <c r="F722" s="4">
        <v>61</v>
      </c>
      <c r="G722" s="4">
        <v>76</v>
      </c>
      <c r="H722" s="4" t="s">
        <v>11</v>
      </c>
    </row>
    <row r="723" spans="1:8">
      <c r="A723" s="5" t="s">
        <v>876</v>
      </c>
      <c r="B723" s="4" t="s">
        <v>875</v>
      </c>
      <c r="C723" s="4" t="s">
        <v>10</v>
      </c>
      <c r="D723" s="4">
        <v>264</v>
      </c>
      <c r="E723" s="4">
        <v>25</v>
      </c>
      <c r="F723" s="4">
        <v>48</v>
      </c>
      <c r="G723" s="4">
        <v>69</v>
      </c>
      <c r="H723" s="4" t="s">
        <v>11</v>
      </c>
    </row>
    <row r="724" spans="1:8">
      <c r="A724" s="5" t="s">
        <v>877</v>
      </c>
      <c r="B724" s="4" t="s">
        <v>878</v>
      </c>
      <c r="C724" s="4" t="s">
        <v>22</v>
      </c>
      <c r="D724" s="4">
        <v>283</v>
      </c>
      <c r="E724" s="4">
        <v>10</v>
      </c>
      <c r="F724" s="4">
        <v>35</v>
      </c>
      <c r="G724" s="4">
        <v>75</v>
      </c>
      <c r="H724" s="4" t="s">
        <v>11</v>
      </c>
    </row>
    <row r="725" spans="1:8">
      <c r="A725" s="8" t="s">
        <v>879</v>
      </c>
      <c r="B725" s="4" t="s">
        <v>880</v>
      </c>
      <c r="C725" s="4" t="s">
        <v>10</v>
      </c>
      <c r="D725" s="4">
        <v>231</v>
      </c>
      <c r="E725" s="4">
        <v>17</v>
      </c>
      <c r="F725" s="4">
        <v>40</v>
      </c>
      <c r="G725" s="4">
        <v>60</v>
      </c>
      <c r="H725" s="4" t="s">
        <v>16</v>
      </c>
    </row>
    <row r="726" spans="1:8">
      <c r="A726" s="3" t="s">
        <v>881</v>
      </c>
      <c r="B726" s="4" t="s">
        <v>882</v>
      </c>
      <c r="C726" s="4" t="s">
        <v>10</v>
      </c>
      <c r="D726" s="4">
        <v>255</v>
      </c>
      <c r="E726" s="4">
        <v>25</v>
      </c>
      <c r="F726" s="4">
        <v>49.5</v>
      </c>
      <c r="G726" s="4">
        <v>55</v>
      </c>
      <c r="H726" s="4" t="s">
        <v>16</v>
      </c>
    </row>
    <row r="727" spans="1:8">
      <c r="A727" s="3" t="s">
        <v>883</v>
      </c>
      <c r="B727" s="4" t="s">
        <v>882</v>
      </c>
      <c r="C727" s="4" t="s">
        <v>22</v>
      </c>
      <c r="D727" s="4">
        <v>258</v>
      </c>
      <c r="E727" s="4">
        <v>9</v>
      </c>
      <c r="F727" s="4">
        <v>55</v>
      </c>
      <c r="G727" s="4">
        <v>55</v>
      </c>
      <c r="H727" s="4" t="s">
        <v>16</v>
      </c>
    </row>
    <row r="728" spans="1:8">
      <c r="A728" s="5" t="s">
        <v>884</v>
      </c>
      <c r="B728" s="4" t="s">
        <v>882</v>
      </c>
      <c r="C728" s="4" t="s">
        <v>10</v>
      </c>
      <c r="D728" s="4">
        <f>VLOOKUP(A728,[1]Discos!$C$8:$H$253,6,FALSE)</f>
        <v>255</v>
      </c>
      <c r="E728" s="4">
        <v>25</v>
      </c>
      <c r="F728" s="4">
        <v>49.5</v>
      </c>
      <c r="G728" s="4">
        <v>55</v>
      </c>
      <c r="H728" s="4" t="str">
        <f>VLOOKUP(A728,[1]Discos!$C$8:$L$253,10,FALSE)</f>
        <v>4H</v>
      </c>
    </row>
    <row r="729" spans="1:8">
      <c r="A729" s="3" t="s">
        <v>885</v>
      </c>
      <c r="B729" s="4" t="s">
        <v>882</v>
      </c>
      <c r="C729" s="4" t="s">
        <v>22</v>
      </c>
      <c r="D729" s="4">
        <f>VLOOKUP(A729,[1]Discos!$C$8:$H$253,6,FALSE)</f>
        <v>258</v>
      </c>
      <c r="E729" s="4">
        <v>9</v>
      </c>
      <c r="F729" s="4">
        <v>55</v>
      </c>
      <c r="G729" s="4">
        <v>55</v>
      </c>
      <c r="H729" s="4" t="str">
        <f>VLOOKUP(A729,[1]Discos!$C$8:$L$253,10,FALSE)</f>
        <v>4H</v>
      </c>
    </row>
    <row r="730" spans="1:8">
      <c r="A730" s="5" t="s">
        <v>886</v>
      </c>
      <c r="B730" s="4" t="s">
        <v>882</v>
      </c>
      <c r="C730" s="4" t="s">
        <v>10</v>
      </c>
      <c r="D730" s="4">
        <v>255</v>
      </c>
      <c r="E730" s="4">
        <v>25</v>
      </c>
      <c r="F730" s="4">
        <v>49.5</v>
      </c>
      <c r="G730" s="4">
        <v>55</v>
      </c>
      <c r="H730" s="4" t="s">
        <v>16</v>
      </c>
    </row>
    <row r="731" spans="1:8">
      <c r="A731" s="3" t="s">
        <v>887</v>
      </c>
      <c r="B731" s="4" t="s">
        <v>882</v>
      </c>
      <c r="C731" s="4" t="s">
        <v>22</v>
      </c>
      <c r="D731" s="4">
        <v>258</v>
      </c>
      <c r="E731" s="4">
        <v>9</v>
      </c>
      <c r="F731" s="4">
        <v>55</v>
      </c>
      <c r="G731" s="4">
        <v>55</v>
      </c>
      <c r="H731" s="4" t="s">
        <v>16</v>
      </c>
    </row>
    <row r="732" spans="1:8">
      <c r="A732" s="5" t="s">
        <v>888</v>
      </c>
      <c r="B732" s="4" t="s">
        <v>882</v>
      </c>
      <c r="C732" s="4" t="s">
        <v>10</v>
      </c>
      <c r="D732" s="4">
        <v>255</v>
      </c>
      <c r="E732" s="4">
        <v>25</v>
      </c>
      <c r="F732" s="4">
        <v>49.5</v>
      </c>
      <c r="G732" s="4">
        <v>55</v>
      </c>
      <c r="H732" s="4" t="s">
        <v>16</v>
      </c>
    </row>
    <row r="733" spans="1:8">
      <c r="A733" s="3" t="s">
        <v>889</v>
      </c>
      <c r="B733" s="4" t="s">
        <v>882</v>
      </c>
      <c r="C733" s="4" t="s">
        <v>22</v>
      </c>
      <c r="D733" s="4">
        <v>258</v>
      </c>
      <c r="E733" s="4">
        <v>9</v>
      </c>
      <c r="F733" s="4">
        <v>55</v>
      </c>
      <c r="G733" s="4">
        <v>55</v>
      </c>
      <c r="H733" s="4" t="s">
        <v>16</v>
      </c>
    </row>
    <row r="734" spans="1:8">
      <c r="A734" s="3" t="s">
        <v>890</v>
      </c>
      <c r="B734" s="4" t="s">
        <v>891</v>
      </c>
      <c r="C734" s="4" t="s">
        <v>10</v>
      </c>
      <c r="D734" s="4">
        <v>273</v>
      </c>
      <c r="E734" s="4">
        <v>26</v>
      </c>
      <c r="F734" s="4">
        <v>49.5</v>
      </c>
      <c r="G734" s="4">
        <v>55</v>
      </c>
      <c r="H734" s="4" t="s">
        <v>11</v>
      </c>
    </row>
    <row r="735" spans="1:8">
      <c r="A735" s="3" t="s">
        <v>892</v>
      </c>
      <c r="B735" s="4" t="s">
        <v>891</v>
      </c>
      <c r="C735" s="4" t="s">
        <v>10</v>
      </c>
      <c r="D735" s="4">
        <f>VLOOKUP(A735,[1]Discos!$C$8:$H$253,6,FALSE)</f>
        <v>273</v>
      </c>
      <c r="E735" s="4">
        <v>26</v>
      </c>
      <c r="F735" s="4">
        <v>49.5</v>
      </c>
      <c r="G735" s="4">
        <v>55</v>
      </c>
      <c r="H735" s="4" t="str">
        <f>VLOOKUP(A735,[1]Discos!$C$8:$L$253,10,FALSE)</f>
        <v>5H</v>
      </c>
    </row>
    <row r="736" spans="1:8">
      <c r="A736" s="3">
        <v>4351202290</v>
      </c>
      <c r="B736" s="4" t="s">
        <v>891</v>
      </c>
      <c r="C736" s="4" t="s">
        <v>10</v>
      </c>
      <c r="D736" s="4">
        <v>273</v>
      </c>
      <c r="E736" s="4">
        <v>26</v>
      </c>
      <c r="F736" s="4">
        <v>49.5</v>
      </c>
      <c r="G736" s="4">
        <v>55</v>
      </c>
      <c r="H736" s="4" t="s">
        <v>11</v>
      </c>
    </row>
    <row r="737" spans="1:8">
      <c r="A737" s="3" t="s">
        <v>893</v>
      </c>
      <c r="B737" s="4" t="s">
        <v>891</v>
      </c>
      <c r="C737" s="4" t="s">
        <v>10</v>
      </c>
      <c r="D737" s="4">
        <v>273</v>
      </c>
      <c r="E737" s="4">
        <v>26</v>
      </c>
      <c r="F737" s="4">
        <v>49.5</v>
      </c>
      <c r="G737" s="4">
        <v>55</v>
      </c>
      <c r="H737" s="4" t="s">
        <v>11</v>
      </c>
    </row>
    <row r="738" spans="1:8">
      <c r="A738" s="3" t="s">
        <v>894</v>
      </c>
      <c r="B738" s="4" t="s">
        <v>895</v>
      </c>
      <c r="C738" s="4" t="s">
        <v>10</v>
      </c>
      <c r="D738" s="4">
        <v>260</v>
      </c>
      <c r="E738" s="4">
        <v>25</v>
      </c>
      <c r="F738" s="4">
        <v>49.5</v>
      </c>
      <c r="G738" s="4">
        <v>55</v>
      </c>
      <c r="H738" s="4" t="s">
        <v>11</v>
      </c>
    </row>
    <row r="739" spans="1:8">
      <c r="A739" s="5" t="s">
        <v>896</v>
      </c>
      <c r="B739" s="4" t="s">
        <v>895</v>
      </c>
      <c r="C739" s="4" t="s">
        <v>10</v>
      </c>
      <c r="D739" s="4">
        <f>VLOOKUP(A739,[1]Discos!$C$8:$H$253,6,FALSE)</f>
        <v>260</v>
      </c>
      <c r="E739" s="4">
        <v>25</v>
      </c>
      <c r="F739" s="4">
        <v>49.5</v>
      </c>
      <c r="G739" s="4">
        <v>55</v>
      </c>
      <c r="H739" s="4" t="str">
        <f>VLOOKUP(A739,[1]Discos!$C$8:$L$253,10,FALSE)</f>
        <v>5H</v>
      </c>
    </row>
    <row r="740" spans="1:8">
      <c r="A740" s="5">
        <v>4351205030</v>
      </c>
      <c r="B740" s="4" t="s">
        <v>895</v>
      </c>
      <c r="C740" s="4" t="s">
        <v>10</v>
      </c>
      <c r="D740" s="4">
        <v>260</v>
      </c>
      <c r="E740" s="4">
        <v>25</v>
      </c>
      <c r="F740" s="4">
        <v>49.5</v>
      </c>
      <c r="G740" s="4">
        <v>55</v>
      </c>
      <c r="H740" s="4" t="s">
        <v>11</v>
      </c>
    </row>
    <row r="741" spans="1:8">
      <c r="A741" s="5" t="s">
        <v>897</v>
      </c>
      <c r="B741" s="4" t="s">
        <v>895</v>
      </c>
      <c r="C741" s="4" t="s">
        <v>10</v>
      </c>
      <c r="D741" s="4">
        <v>260</v>
      </c>
      <c r="E741" s="4">
        <v>25</v>
      </c>
      <c r="F741" s="4">
        <v>49.5</v>
      </c>
      <c r="G741" s="4">
        <v>55</v>
      </c>
      <c r="H741" s="4" t="s">
        <v>11</v>
      </c>
    </row>
    <row r="742" spans="1:8">
      <c r="A742" s="3" t="s">
        <v>898</v>
      </c>
      <c r="B742" s="4" t="s">
        <v>899</v>
      </c>
      <c r="C742" s="4" t="s">
        <v>22</v>
      </c>
      <c r="D742" s="4">
        <v>270</v>
      </c>
      <c r="E742" s="4">
        <v>10</v>
      </c>
      <c r="F742" s="4">
        <v>37</v>
      </c>
      <c r="G742" s="4">
        <v>55</v>
      </c>
      <c r="H742" s="4" t="s">
        <v>11</v>
      </c>
    </row>
    <row r="743" spans="1:8">
      <c r="A743" s="3" t="s">
        <v>900</v>
      </c>
      <c r="B743" s="4" t="s">
        <v>899</v>
      </c>
      <c r="C743" s="4" t="s">
        <v>22</v>
      </c>
      <c r="D743" s="4">
        <f>VLOOKUP(A743,[1]Discos!$C$8:$H$253,6,FALSE)</f>
        <v>270</v>
      </c>
      <c r="E743" s="4">
        <v>10</v>
      </c>
      <c r="F743" s="4">
        <v>37</v>
      </c>
      <c r="G743" s="4">
        <v>55</v>
      </c>
      <c r="H743" s="4" t="str">
        <f>VLOOKUP(A743,[1]Discos!$C$8:$L$253,10,FALSE)</f>
        <v>5H</v>
      </c>
    </row>
    <row r="744" spans="1:8">
      <c r="A744" s="3">
        <v>4243102270</v>
      </c>
      <c r="B744" s="4" t="s">
        <v>899</v>
      </c>
      <c r="C744" s="4" t="s">
        <v>22</v>
      </c>
      <c r="D744" s="4">
        <v>270</v>
      </c>
      <c r="E744" s="4">
        <v>10</v>
      </c>
      <c r="F744" s="4">
        <v>37</v>
      </c>
      <c r="G744" s="4">
        <v>55</v>
      </c>
      <c r="H744" s="4" t="s">
        <v>11</v>
      </c>
    </row>
    <row r="745" spans="1:8">
      <c r="A745" s="3" t="s">
        <v>901</v>
      </c>
      <c r="B745" s="4" t="s">
        <v>899</v>
      </c>
      <c r="C745" s="4" t="s">
        <v>22</v>
      </c>
      <c r="D745" s="4">
        <v>270</v>
      </c>
      <c r="E745" s="4">
        <v>10</v>
      </c>
      <c r="F745" s="4">
        <v>37</v>
      </c>
      <c r="G745" s="4">
        <v>55</v>
      </c>
      <c r="H745" s="4" t="s">
        <v>11</v>
      </c>
    </row>
    <row r="746" spans="1:8">
      <c r="A746" s="3" t="s">
        <v>902</v>
      </c>
      <c r="B746" s="4" t="s">
        <v>903</v>
      </c>
      <c r="C746" s="4" t="s">
        <v>10</v>
      </c>
      <c r="D746" s="4">
        <v>338</v>
      </c>
      <c r="E746" s="4">
        <v>28</v>
      </c>
      <c r="F746" s="4">
        <v>67.5</v>
      </c>
      <c r="G746" s="4">
        <v>108</v>
      </c>
      <c r="H746" s="4" t="s">
        <v>120</v>
      </c>
    </row>
    <row r="747" spans="1:8">
      <c r="A747" s="3" t="s">
        <v>904</v>
      </c>
      <c r="B747" s="4" t="s">
        <v>903</v>
      </c>
      <c r="C747" s="4" t="s">
        <v>10</v>
      </c>
      <c r="D747" s="4">
        <v>338</v>
      </c>
      <c r="E747" s="4">
        <v>28</v>
      </c>
      <c r="F747" s="4">
        <v>67.5</v>
      </c>
      <c r="G747" s="4">
        <v>108</v>
      </c>
      <c r="H747" s="4" t="s">
        <v>120</v>
      </c>
    </row>
    <row r="748" spans="1:8">
      <c r="A748" s="3" t="s">
        <v>905</v>
      </c>
      <c r="B748" s="4" t="s">
        <v>903</v>
      </c>
      <c r="C748" s="4" t="s">
        <v>10</v>
      </c>
      <c r="D748" s="4">
        <v>338</v>
      </c>
      <c r="E748" s="4">
        <v>28</v>
      </c>
      <c r="F748" s="4">
        <v>67.5</v>
      </c>
      <c r="G748" s="4">
        <v>108</v>
      </c>
      <c r="H748" s="4" t="s">
        <v>120</v>
      </c>
    </row>
    <row r="749" spans="1:8">
      <c r="A749" s="3" t="s">
        <v>906</v>
      </c>
      <c r="B749" s="4" t="s">
        <v>907</v>
      </c>
      <c r="C749" s="4" t="s">
        <v>10</v>
      </c>
      <c r="D749" s="4">
        <v>285</v>
      </c>
      <c r="E749" s="4">
        <v>28</v>
      </c>
      <c r="F749" s="4">
        <v>48.5</v>
      </c>
      <c r="G749" s="4">
        <v>105</v>
      </c>
      <c r="H749" s="4" t="s">
        <v>120</v>
      </c>
    </row>
    <row r="750" spans="1:8">
      <c r="A750" s="3" t="s">
        <v>908</v>
      </c>
      <c r="B750" s="4" t="s">
        <v>907</v>
      </c>
      <c r="C750" s="4" t="s">
        <v>10</v>
      </c>
      <c r="D750" s="4">
        <f>VLOOKUP(A750,[1]Discos!$C$8:$H$253,6,FALSE)</f>
        <v>285</v>
      </c>
      <c r="E750" s="4">
        <v>28</v>
      </c>
      <c r="F750" s="4">
        <v>48.5</v>
      </c>
      <c r="G750" s="4">
        <v>105</v>
      </c>
      <c r="H750" s="4" t="str">
        <f>VLOOKUP(A750,[1]Discos!$C$8:$L$253,10,FALSE)</f>
        <v>6H</v>
      </c>
    </row>
    <row r="751" spans="1:8">
      <c r="A751" s="3" t="s">
        <v>909</v>
      </c>
      <c r="B751" s="4" t="s">
        <v>907</v>
      </c>
      <c r="C751" s="4" t="s">
        <v>10</v>
      </c>
      <c r="D751" s="4">
        <v>285</v>
      </c>
      <c r="E751" s="4">
        <v>28</v>
      </c>
      <c r="F751" s="4">
        <v>48.5</v>
      </c>
      <c r="G751" s="4">
        <v>105</v>
      </c>
      <c r="H751" s="4" t="s">
        <v>120</v>
      </c>
    </row>
    <row r="752" spans="1:8">
      <c r="A752" s="3" t="s">
        <v>910</v>
      </c>
      <c r="B752" s="4" t="s">
        <v>907</v>
      </c>
      <c r="C752" s="4" t="s">
        <v>10</v>
      </c>
      <c r="D752" s="4">
        <v>285</v>
      </c>
      <c r="E752" s="4">
        <v>28</v>
      </c>
      <c r="F752" s="4">
        <v>48.5</v>
      </c>
      <c r="G752" s="4">
        <v>105</v>
      </c>
      <c r="H752" s="4" t="s">
        <v>120</v>
      </c>
    </row>
    <row r="753" spans="1:8">
      <c r="A753" s="3" t="s">
        <v>911</v>
      </c>
      <c r="B753" s="4" t="s">
        <v>912</v>
      </c>
      <c r="C753" s="4" t="s">
        <v>10</v>
      </c>
      <c r="D753" s="4">
        <v>302</v>
      </c>
      <c r="E753" s="4">
        <v>20</v>
      </c>
      <c r="F753" s="4">
        <v>48</v>
      </c>
      <c r="G753" s="4">
        <v>100</v>
      </c>
      <c r="H753" s="4" t="s">
        <v>120</v>
      </c>
    </row>
    <row r="754" spans="1:8">
      <c r="A754" s="3" t="s">
        <v>913</v>
      </c>
      <c r="B754" s="4" t="s">
        <v>912</v>
      </c>
      <c r="C754" s="4" t="s">
        <v>10</v>
      </c>
      <c r="D754" s="4">
        <f>VLOOKUP(A754,[1]Discos!$C$8:$H$253,6,FALSE)</f>
        <v>302</v>
      </c>
      <c r="E754" s="4">
        <v>20</v>
      </c>
      <c r="F754" s="4">
        <v>48</v>
      </c>
      <c r="G754" s="4">
        <v>100</v>
      </c>
      <c r="H754" s="4" t="str">
        <f>VLOOKUP(A754,[1]Discos!$C$8:$L$253,10,FALSE)</f>
        <v>6H</v>
      </c>
    </row>
    <row r="755" spans="1:8">
      <c r="A755" s="3">
        <v>43512235170</v>
      </c>
      <c r="B755" s="4" t="s">
        <v>912</v>
      </c>
      <c r="C755" s="4" t="s">
        <v>10</v>
      </c>
      <c r="D755" s="4">
        <v>302</v>
      </c>
      <c r="E755" s="4">
        <v>20</v>
      </c>
      <c r="F755" s="4">
        <v>48</v>
      </c>
      <c r="G755" s="4">
        <v>100</v>
      </c>
      <c r="H755" s="4" t="s">
        <v>120</v>
      </c>
    </row>
    <row r="756" spans="1:8">
      <c r="A756" s="3" t="s">
        <v>914</v>
      </c>
      <c r="B756" s="4" t="s">
        <v>912</v>
      </c>
      <c r="C756" s="4" t="s">
        <v>10</v>
      </c>
      <c r="D756" s="4">
        <v>302</v>
      </c>
      <c r="E756" s="4">
        <v>20</v>
      </c>
      <c r="F756" s="4">
        <v>48</v>
      </c>
      <c r="G756" s="4">
        <v>100</v>
      </c>
      <c r="H756" s="4" t="s">
        <v>120</v>
      </c>
    </row>
    <row r="757" spans="1:8">
      <c r="A757" s="3" t="s">
        <v>915</v>
      </c>
      <c r="B757" s="4" t="s">
        <v>916</v>
      </c>
      <c r="C757" s="4" t="s">
        <v>10</v>
      </c>
      <c r="D757" s="4">
        <v>319</v>
      </c>
      <c r="E757" s="4">
        <v>28</v>
      </c>
      <c r="F757" s="4">
        <v>67.5</v>
      </c>
      <c r="G757" s="4">
        <v>108</v>
      </c>
      <c r="H757" s="4" t="s">
        <v>120</v>
      </c>
    </row>
    <row r="758" spans="1:8">
      <c r="A758" s="3" t="s">
        <v>917</v>
      </c>
      <c r="B758" s="4" t="s">
        <v>916</v>
      </c>
      <c r="C758" s="4" t="s">
        <v>10</v>
      </c>
      <c r="D758" s="4">
        <f>VLOOKUP(A758,[1]Discos!$C$8:$H$253,6,FALSE)</f>
        <v>319</v>
      </c>
      <c r="E758" s="4">
        <v>28</v>
      </c>
      <c r="F758" s="4">
        <v>67.5</v>
      </c>
      <c r="G758" s="4">
        <v>108</v>
      </c>
      <c r="H758" s="4" t="str">
        <f>VLOOKUP(A758,[1]Discos!$C$8:$L$253,10,FALSE)</f>
        <v>6H</v>
      </c>
    </row>
    <row r="759" spans="1:8">
      <c r="A759" s="3" t="s">
        <v>918</v>
      </c>
      <c r="B759" s="4" t="s">
        <v>916</v>
      </c>
      <c r="C759" s="4" t="s">
        <v>10</v>
      </c>
      <c r="D759" s="4">
        <v>319</v>
      </c>
      <c r="E759" s="4">
        <v>28</v>
      </c>
      <c r="F759" s="4">
        <v>67.5</v>
      </c>
      <c r="G759" s="4">
        <v>108</v>
      </c>
      <c r="H759" s="4" t="s">
        <v>120</v>
      </c>
    </row>
    <row r="760" spans="1:8">
      <c r="A760" s="3" t="s">
        <v>919</v>
      </c>
      <c r="B760" s="4" t="s">
        <v>916</v>
      </c>
      <c r="C760" s="4" t="s">
        <v>10</v>
      </c>
      <c r="D760" s="4">
        <v>319</v>
      </c>
      <c r="E760" s="4">
        <v>28</v>
      </c>
      <c r="F760" s="4">
        <v>67.5</v>
      </c>
      <c r="G760" s="4">
        <v>108</v>
      </c>
      <c r="H760" s="4" t="s">
        <v>120</v>
      </c>
    </row>
    <row r="761" spans="1:8">
      <c r="A761" s="3" t="s">
        <v>920</v>
      </c>
      <c r="B761" s="4" t="s">
        <v>921</v>
      </c>
      <c r="C761" s="4" t="s">
        <v>10</v>
      </c>
      <c r="D761" s="4">
        <v>296</v>
      </c>
      <c r="E761" s="4">
        <v>30</v>
      </c>
      <c r="F761" s="4">
        <v>59</v>
      </c>
      <c r="G761" s="4">
        <v>62</v>
      </c>
      <c r="H761" s="4" t="s">
        <v>11</v>
      </c>
    </row>
    <row r="762" spans="1:8">
      <c r="A762" s="3" t="s">
        <v>922</v>
      </c>
      <c r="B762" s="4" t="s">
        <v>921</v>
      </c>
      <c r="C762" s="4" t="s">
        <v>10</v>
      </c>
      <c r="D762" s="4">
        <f>VLOOKUP(A762,[1]Discos!$C$8:$H$253,6,FALSE)</f>
        <v>296</v>
      </c>
      <c r="E762" s="4">
        <v>30</v>
      </c>
      <c r="F762" s="4">
        <v>59</v>
      </c>
      <c r="G762" s="4">
        <v>62</v>
      </c>
      <c r="H762" s="4" t="str">
        <f>VLOOKUP(A762,[1]Discos!$C$8:$L$253,10,FALSE)</f>
        <v>5H</v>
      </c>
    </row>
    <row r="763" spans="1:8">
      <c r="A763" s="3" t="s">
        <v>923</v>
      </c>
      <c r="B763" s="4" t="s">
        <v>921</v>
      </c>
      <c r="C763" s="4" t="s">
        <v>10</v>
      </c>
      <c r="D763" s="4">
        <v>296</v>
      </c>
      <c r="E763" s="4">
        <v>30</v>
      </c>
      <c r="F763" s="4">
        <v>59</v>
      </c>
      <c r="G763" s="4">
        <v>62</v>
      </c>
      <c r="H763" s="4" t="s">
        <v>11</v>
      </c>
    </row>
    <row r="764" spans="1:8">
      <c r="A764" s="3" t="s">
        <v>924</v>
      </c>
      <c r="B764" s="4" t="s">
        <v>925</v>
      </c>
      <c r="C764" s="4" t="s">
        <v>10</v>
      </c>
      <c r="D764" s="4">
        <v>297</v>
      </c>
      <c r="E764" s="4">
        <v>25</v>
      </c>
      <c r="F764" s="4">
        <v>67.5</v>
      </c>
      <c r="G764" s="4">
        <v>108</v>
      </c>
      <c r="H764" s="4" t="s">
        <v>120</v>
      </c>
    </row>
    <row r="765" spans="1:8">
      <c r="A765" s="3" t="s">
        <v>926</v>
      </c>
      <c r="B765" s="4" t="s">
        <v>925</v>
      </c>
      <c r="C765" s="4" t="s">
        <v>10</v>
      </c>
      <c r="D765" s="4">
        <f>VLOOKUP(A765,[1]Discos!$C$8:$H$253,6,FALSE)</f>
        <v>297</v>
      </c>
      <c r="E765" s="4">
        <v>25</v>
      </c>
      <c r="F765" s="4">
        <v>67.5</v>
      </c>
      <c r="G765" s="4">
        <v>108</v>
      </c>
      <c r="H765" s="4" t="str">
        <f>VLOOKUP(A765,[1]Discos!$C$8:$L$253,10,FALSE)</f>
        <v>6H</v>
      </c>
    </row>
    <row r="766" spans="1:8">
      <c r="A766" s="3" t="s">
        <v>927</v>
      </c>
      <c r="B766" s="4" t="s">
        <v>925</v>
      </c>
      <c r="C766" s="4" t="s">
        <v>10</v>
      </c>
      <c r="D766" s="4">
        <v>297</v>
      </c>
      <c r="E766" s="4">
        <v>25</v>
      </c>
      <c r="F766" s="4">
        <v>67.5</v>
      </c>
      <c r="G766" s="4">
        <v>108</v>
      </c>
      <c r="H766" s="4" t="s">
        <v>120</v>
      </c>
    </row>
    <row r="767" spans="1:8">
      <c r="A767" s="3" t="s">
        <v>928</v>
      </c>
      <c r="B767" s="4" t="s">
        <v>925</v>
      </c>
      <c r="C767" s="4" t="s">
        <v>10</v>
      </c>
      <c r="D767" s="4">
        <v>297</v>
      </c>
      <c r="E767" s="4">
        <v>25</v>
      </c>
      <c r="F767" s="4">
        <v>67.5</v>
      </c>
      <c r="G767" s="4">
        <v>108</v>
      </c>
      <c r="H767" s="4" t="s">
        <v>120</v>
      </c>
    </row>
    <row r="768" spans="1:8">
      <c r="A768" s="3" t="s">
        <v>929</v>
      </c>
      <c r="B768" s="4" t="s">
        <v>930</v>
      </c>
      <c r="C768" s="4" t="s">
        <v>10</v>
      </c>
      <c r="D768" s="4">
        <v>255</v>
      </c>
      <c r="E768" s="4">
        <v>28</v>
      </c>
      <c r="F768" s="4">
        <v>58.5</v>
      </c>
      <c r="G768" s="4">
        <v>62</v>
      </c>
      <c r="H768" s="4" t="s">
        <v>11</v>
      </c>
    </row>
    <row r="769" spans="1:8">
      <c r="A769" s="3" t="s">
        <v>931</v>
      </c>
      <c r="B769" s="4" t="s">
        <v>930</v>
      </c>
      <c r="C769" s="4" t="s">
        <v>10</v>
      </c>
      <c r="D769" s="4">
        <f>VLOOKUP(A769,[1]Discos!$C$8:$H$253,6,FALSE)</f>
        <v>255</v>
      </c>
      <c r="E769" s="4">
        <v>28</v>
      </c>
      <c r="F769" s="4">
        <v>58.5</v>
      </c>
      <c r="G769" s="4">
        <v>62</v>
      </c>
      <c r="H769" s="4" t="str">
        <f>VLOOKUP(A769,[1]Discos!$C$8:$L$253,10,FALSE)</f>
        <v>5H</v>
      </c>
    </row>
    <row r="770" spans="1:8">
      <c r="A770" s="3" t="s">
        <v>932</v>
      </c>
      <c r="B770" s="4" t="s">
        <v>930</v>
      </c>
      <c r="C770" s="4" t="s">
        <v>10</v>
      </c>
      <c r="D770" s="4">
        <v>255</v>
      </c>
      <c r="E770" s="4">
        <v>28</v>
      </c>
      <c r="F770" s="4">
        <v>58.5</v>
      </c>
      <c r="G770" s="4">
        <v>62</v>
      </c>
      <c r="H770" s="4" t="s">
        <v>11</v>
      </c>
    </row>
    <row r="771" spans="1:8">
      <c r="A771" s="3" t="s">
        <v>933</v>
      </c>
      <c r="B771" s="4" t="s">
        <v>930</v>
      </c>
      <c r="C771" s="4" t="s">
        <v>10</v>
      </c>
      <c r="D771" s="4">
        <v>255</v>
      </c>
      <c r="E771" s="4">
        <v>28</v>
      </c>
      <c r="F771" s="4">
        <v>58.5</v>
      </c>
      <c r="G771" s="4">
        <v>62</v>
      </c>
      <c r="H771" s="4" t="s">
        <v>11</v>
      </c>
    </row>
    <row r="772" spans="1:8">
      <c r="A772" s="3" t="s">
        <v>934</v>
      </c>
      <c r="B772" s="4" t="s">
        <v>935</v>
      </c>
      <c r="C772" s="4" t="s">
        <v>10</v>
      </c>
      <c r="D772" s="4">
        <v>257</v>
      </c>
      <c r="E772" s="4">
        <v>25</v>
      </c>
      <c r="F772" s="4">
        <v>46.5</v>
      </c>
      <c r="G772" s="4">
        <v>84</v>
      </c>
      <c r="H772" s="4" t="s">
        <v>11</v>
      </c>
    </row>
    <row r="773" spans="1:8">
      <c r="A773" s="3" t="s">
        <v>936</v>
      </c>
      <c r="B773" s="4" t="s">
        <v>935</v>
      </c>
      <c r="C773" s="4" t="s">
        <v>10</v>
      </c>
      <c r="D773" s="4">
        <f>VLOOKUP(A773,[1]Discos!$C$8:$H$253,6,FALSE)</f>
        <v>257</v>
      </c>
      <c r="E773" s="4">
        <v>25</v>
      </c>
      <c r="F773" s="4">
        <v>46.5</v>
      </c>
      <c r="G773" s="4">
        <v>84</v>
      </c>
      <c r="H773" s="4" t="str">
        <f>VLOOKUP(A773,[1]Discos!$C$8:$L$253,10,FALSE)</f>
        <v>5H</v>
      </c>
    </row>
    <row r="774" spans="1:8">
      <c r="A774" s="3" t="s">
        <v>937</v>
      </c>
      <c r="B774" s="4" t="s">
        <v>935</v>
      </c>
      <c r="C774" s="4" t="s">
        <v>10</v>
      </c>
      <c r="D774" s="4">
        <v>257</v>
      </c>
      <c r="E774" s="4">
        <v>25</v>
      </c>
      <c r="F774" s="4">
        <v>46.5</v>
      </c>
      <c r="G774" s="4">
        <v>84</v>
      </c>
      <c r="H774" s="4" t="s">
        <v>11</v>
      </c>
    </row>
    <row r="775" spans="1:8">
      <c r="A775" s="3" t="s">
        <v>938</v>
      </c>
      <c r="B775" s="4" t="s">
        <v>935</v>
      </c>
      <c r="C775" s="4" t="s">
        <v>10</v>
      </c>
      <c r="D775" s="4">
        <v>257</v>
      </c>
      <c r="E775" s="4">
        <v>25</v>
      </c>
      <c r="F775" s="4">
        <v>46.5</v>
      </c>
      <c r="G775" s="4">
        <v>84</v>
      </c>
      <c r="H775" s="4" t="s">
        <v>11</v>
      </c>
    </row>
    <row r="776" spans="1:8">
      <c r="A776" s="3" t="s">
        <v>939</v>
      </c>
      <c r="B776" s="4" t="s">
        <v>940</v>
      </c>
      <c r="C776" s="4" t="s">
        <v>10</v>
      </c>
      <c r="D776" s="4">
        <v>289</v>
      </c>
      <c r="E776" s="4">
        <v>20</v>
      </c>
      <c r="F776" s="4">
        <v>64.5</v>
      </c>
      <c r="G776" s="4">
        <v>100</v>
      </c>
      <c r="H776" s="4" t="s">
        <v>120</v>
      </c>
    </row>
    <row r="777" spans="1:8">
      <c r="A777" s="3" t="s">
        <v>941</v>
      </c>
      <c r="B777" s="4" t="s">
        <v>940</v>
      </c>
      <c r="C777" s="4" t="s">
        <v>10</v>
      </c>
      <c r="D777" s="4">
        <f>VLOOKUP(A777,[1]Discos!$C$8:$H$253,6,FALSE)</f>
        <v>289</v>
      </c>
      <c r="E777" s="4">
        <v>20</v>
      </c>
      <c r="F777" s="4">
        <v>64.5</v>
      </c>
      <c r="G777" s="4">
        <v>100</v>
      </c>
      <c r="H777" s="4" t="str">
        <f>VLOOKUP(A777,[1]Discos!$C$8:$L$253,10,FALSE)</f>
        <v>6H</v>
      </c>
    </row>
    <row r="778" spans="1:8">
      <c r="A778" s="3">
        <v>4351235190</v>
      </c>
      <c r="B778" s="4" t="s">
        <v>940</v>
      </c>
      <c r="C778" s="4" t="s">
        <v>10</v>
      </c>
      <c r="D778" s="4">
        <v>289</v>
      </c>
      <c r="E778" s="4">
        <v>20</v>
      </c>
      <c r="F778" s="4">
        <v>64.5</v>
      </c>
      <c r="G778" s="4">
        <v>100</v>
      </c>
      <c r="H778" s="4" t="s">
        <v>120</v>
      </c>
    </row>
    <row r="779" spans="1:8">
      <c r="A779" s="3" t="s">
        <v>942</v>
      </c>
      <c r="B779" s="4" t="s">
        <v>940</v>
      </c>
      <c r="C779" s="4" t="s">
        <v>10</v>
      </c>
      <c r="D779" s="4">
        <v>289</v>
      </c>
      <c r="E779" s="4">
        <v>20</v>
      </c>
      <c r="F779" s="4">
        <v>64.5</v>
      </c>
      <c r="G779" s="4">
        <v>100</v>
      </c>
      <c r="H779" s="4" t="s">
        <v>120</v>
      </c>
    </row>
    <row r="780" spans="1:8">
      <c r="A780" s="3" t="s">
        <v>943</v>
      </c>
      <c r="B780" s="4" t="s">
        <v>944</v>
      </c>
      <c r="C780" s="4" t="s">
        <v>10</v>
      </c>
      <c r="D780" s="4">
        <v>338</v>
      </c>
      <c r="E780" s="4">
        <v>28</v>
      </c>
      <c r="F780" s="4">
        <v>67.5</v>
      </c>
      <c r="G780" s="4">
        <v>108</v>
      </c>
      <c r="H780" s="4" t="s">
        <v>120</v>
      </c>
    </row>
    <row r="781" spans="1:8">
      <c r="A781" s="3" t="s">
        <v>945</v>
      </c>
      <c r="B781" s="4" t="s">
        <v>944</v>
      </c>
      <c r="C781" s="4" t="s">
        <v>10</v>
      </c>
      <c r="D781" s="4">
        <f>VLOOKUP(A781,[1]Discos!$C$8:$H$253,6,FALSE)</f>
        <v>338</v>
      </c>
      <c r="E781" s="4">
        <v>28</v>
      </c>
      <c r="F781" s="4">
        <v>67.5</v>
      </c>
      <c r="G781" s="4">
        <v>108</v>
      </c>
      <c r="H781" s="4" t="str">
        <f>VLOOKUP(A781,[1]Discos!$C$8:$L$253,10,FALSE)</f>
        <v>6H</v>
      </c>
    </row>
    <row r="782" spans="1:8">
      <c r="A782" s="3">
        <v>4351260151</v>
      </c>
      <c r="B782" s="4" t="s">
        <v>944</v>
      </c>
      <c r="C782" s="4" t="s">
        <v>10</v>
      </c>
      <c r="D782" s="4">
        <v>338</v>
      </c>
      <c r="E782" s="4">
        <v>28</v>
      </c>
      <c r="F782" s="4">
        <v>67.5</v>
      </c>
      <c r="G782" s="4">
        <v>108</v>
      </c>
      <c r="H782" s="4" t="s">
        <v>120</v>
      </c>
    </row>
    <row r="783" spans="1:8">
      <c r="A783" s="3" t="s">
        <v>946</v>
      </c>
      <c r="B783" s="4" t="s">
        <v>944</v>
      </c>
      <c r="C783" s="4" t="s">
        <v>10</v>
      </c>
      <c r="D783" s="4">
        <v>338</v>
      </c>
      <c r="E783" s="4">
        <v>28</v>
      </c>
      <c r="F783" s="4">
        <v>67.5</v>
      </c>
      <c r="G783" s="4">
        <v>108</v>
      </c>
      <c r="H783" s="4" t="s">
        <v>120</v>
      </c>
    </row>
    <row r="784" spans="1:8">
      <c r="A784" s="3" t="s">
        <v>947</v>
      </c>
      <c r="B784" s="4" t="s">
        <v>948</v>
      </c>
      <c r="C784" s="4" t="s">
        <v>10</v>
      </c>
      <c r="D784" s="4">
        <v>319</v>
      </c>
      <c r="E784" s="4">
        <v>28</v>
      </c>
      <c r="F784" s="4">
        <v>67.5</v>
      </c>
      <c r="G784" s="4">
        <v>108</v>
      </c>
      <c r="H784" s="4" t="s">
        <v>120</v>
      </c>
    </row>
    <row r="785" spans="1:8">
      <c r="A785" s="3" t="s">
        <v>949</v>
      </c>
      <c r="B785" s="4" t="s">
        <v>948</v>
      </c>
      <c r="C785" s="4" t="s">
        <v>10</v>
      </c>
      <c r="D785" s="4">
        <f>VLOOKUP(A785,[1]Discos!$C$8:$H$253,6,FALSE)</f>
        <v>319</v>
      </c>
      <c r="E785" s="4">
        <v>28</v>
      </c>
      <c r="F785" s="4">
        <v>67.5</v>
      </c>
      <c r="G785" s="4">
        <v>108</v>
      </c>
      <c r="H785" s="4" t="str">
        <f>VLOOKUP(A785,[1]Discos!$C$8:$L$253,10,FALSE)</f>
        <v>6H</v>
      </c>
    </row>
    <row r="786" spans="1:8">
      <c r="A786" s="3" t="s">
        <v>950</v>
      </c>
      <c r="B786" s="4" t="s">
        <v>948</v>
      </c>
      <c r="C786" s="4" t="s">
        <v>10</v>
      </c>
      <c r="D786" s="4">
        <v>319</v>
      </c>
      <c r="E786" s="4">
        <v>28</v>
      </c>
      <c r="F786" s="4">
        <v>67.5</v>
      </c>
      <c r="G786" s="4">
        <v>108</v>
      </c>
      <c r="H786" s="4" t="s">
        <v>120</v>
      </c>
    </row>
    <row r="787" spans="1:8">
      <c r="A787" s="3" t="s">
        <v>951</v>
      </c>
      <c r="B787" s="4" t="s">
        <v>948</v>
      </c>
      <c r="C787" s="4" t="s">
        <v>10</v>
      </c>
      <c r="D787" s="4">
        <v>319</v>
      </c>
      <c r="E787" s="4">
        <v>28</v>
      </c>
      <c r="F787" s="4">
        <v>67.5</v>
      </c>
      <c r="G787" s="4">
        <v>108</v>
      </c>
      <c r="H787" s="4" t="s">
        <v>120</v>
      </c>
    </row>
    <row r="788" spans="1:8">
      <c r="A788" s="3" t="s">
        <v>952</v>
      </c>
      <c r="B788" s="4" t="s">
        <v>953</v>
      </c>
      <c r="C788" s="4" t="s">
        <v>10</v>
      </c>
      <c r="D788" s="4">
        <v>275</v>
      </c>
      <c r="E788" s="4">
        <v>28</v>
      </c>
      <c r="F788" s="4">
        <v>59</v>
      </c>
      <c r="G788" s="4">
        <v>62</v>
      </c>
      <c r="H788" s="4" t="s">
        <v>11</v>
      </c>
    </row>
    <row r="789" spans="1:8">
      <c r="A789" s="3" t="s">
        <v>954</v>
      </c>
      <c r="B789" s="4" t="s">
        <v>953</v>
      </c>
      <c r="C789" s="4" t="s">
        <v>10</v>
      </c>
      <c r="D789" s="4">
        <f>VLOOKUP(A789,[1]Discos!$C$8:$H$253,6,FALSE)</f>
        <v>275</v>
      </c>
      <c r="E789" s="4">
        <v>28</v>
      </c>
      <c r="F789" s="4">
        <v>59</v>
      </c>
      <c r="G789" s="4">
        <v>62</v>
      </c>
      <c r="H789" s="4" t="str">
        <f>VLOOKUP(A789,[1]Discos!$C$8:$L$253,10,FALSE)</f>
        <v>5H</v>
      </c>
    </row>
    <row r="790" spans="1:8">
      <c r="A790" s="3" t="s">
        <v>955</v>
      </c>
      <c r="B790" s="4" t="s">
        <v>953</v>
      </c>
      <c r="C790" s="4" t="s">
        <v>10</v>
      </c>
      <c r="D790" s="4">
        <v>275</v>
      </c>
      <c r="E790" s="4">
        <v>28</v>
      </c>
      <c r="F790" s="4">
        <v>59</v>
      </c>
      <c r="G790" s="4">
        <v>62</v>
      </c>
      <c r="H790" s="4" t="s">
        <v>11</v>
      </c>
    </row>
    <row r="791" spans="1:8">
      <c r="A791" s="3" t="s">
        <v>956</v>
      </c>
      <c r="B791" s="4" t="s">
        <v>953</v>
      </c>
      <c r="C791" s="4" t="s">
        <v>10</v>
      </c>
      <c r="D791" s="4">
        <v>275</v>
      </c>
      <c r="E791" s="4">
        <v>28</v>
      </c>
      <c r="F791" s="4">
        <v>59</v>
      </c>
      <c r="G791" s="4">
        <v>62</v>
      </c>
      <c r="H791" s="4" t="s">
        <v>11</v>
      </c>
    </row>
    <row r="792" spans="1:8">
      <c r="A792" s="3" t="s">
        <v>957</v>
      </c>
      <c r="B792" s="4" t="s">
        <v>958</v>
      </c>
      <c r="C792" s="4" t="s">
        <v>77</v>
      </c>
      <c r="D792" s="4">
        <v>312</v>
      </c>
      <c r="E792" s="4">
        <v>18</v>
      </c>
      <c r="F792" s="4">
        <v>68.3</v>
      </c>
      <c r="G792" s="4">
        <v>106.1</v>
      </c>
      <c r="H792" s="4" t="s">
        <v>120</v>
      </c>
    </row>
    <row r="793" spans="1:8">
      <c r="A793" s="3" t="s">
        <v>959</v>
      </c>
      <c r="B793" s="4" t="s">
        <v>958</v>
      </c>
      <c r="C793" s="4" t="s">
        <v>77</v>
      </c>
      <c r="D793" s="4">
        <f>VLOOKUP(A793,[1]Discos!$C$8:$H$253,6,FALSE)</f>
        <v>312</v>
      </c>
      <c r="E793" s="4">
        <v>18</v>
      </c>
      <c r="F793" s="4">
        <v>68.3</v>
      </c>
      <c r="G793" s="4">
        <v>106.1</v>
      </c>
      <c r="H793" s="4" t="str">
        <f>VLOOKUP(A793,[1]Discos!$C$8:$L$253,10,FALSE)</f>
        <v>6H</v>
      </c>
    </row>
    <row r="794" spans="1:8">
      <c r="A794" s="3">
        <v>4243120201</v>
      </c>
      <c r="B794" s="4" t="s">
        <v>958</v>
      </c>
      <c r="C794" s="4" t="s">
        <v>77</v>
      </c>
      <c r="D794" s="4">
        <v>312</v>
      </c>
      <c r="E794" s="4">
        <v>18</v>
      </c>
      <c r="F794" s="4">
        <v>68.3</v>
      </c>
      <c r="G794" s="4">
        <v>106.1</v>
      </c>
      <c r="H794" s="4" t="s">
        <v>120</v>
      </c>
    </row>
    <row r="795" spans="1:8">
      <c r="A795" s="3" t="s">
        <v>960</v>
      </c>
      <c r="B795" s="4" t="s">
        <v>958</v>
      </c>
      <c r="C795" s="4" t="s">
        <v>77</v>
      </c>
      <c r="D795" s="4">
        <v>312</v>
      </c>
      <c r="E795" s="4">
        <v>18</v>
      </c>
      <c r="F795" s="4">
        <v>68.3</v>
      </c>
      <c r="G795" s="4">
        <v>106.1</v>
      </c>
      <c r="H795" s="4" t="s">
        <v>120</v>
      </c>
    </row>
    <row r="796" spans="1:8">
      <c r="A796" s="3" t="s">
        <v>961</v>
      </c>
      <c r="B796" s="4" t="s">
        <v>962</v>
      </c>
      <c r="C796" s="4" t="s">
        <v>77</v>
      </c>
      <c r="D796" s="4">
        <v>312</v>
      </c>
      <c r="E796" s="4">
        <v>18</v>
      </c>
      <c r="F796" s="4">
        <v>68</v>
      </c>
      <c r="G796" s="4">
        <v>108</v>
      </c>
      <c r="H796" s="4" t="s">
        <v>120</v>
      </c>
    </row>
    <row r="797" spans="1:8">
      <c r="A797" s="3" t="s">
        <v>963</v>
      </c>
      <c r="B797" s="4" t="s">
        <v>962</v>
      </c>
      <c r="C797" s="4" t="s">
        <v>77</v>
      </c>
      <c r="D797" s="4">
        <f>VLOOKUP(A797,[1]Discos!$C$8:$H$253,6,FALSE)</f>
        <v>312</v>
      </c>
      <c r="E797" s="4">
        <v>18</v>
      </c>
      <c r="F797" s="4">
        <v>68</v>
      </c>
      <c r="G797" s="4">
        <v>108</v>
      </c>
      <c r="H797" s="4" t="str">
        <f>VLOOKUP(A797,[1]Discos!$C$8:$L$253,10,FALSE)</f>
        <v>6H</v>
      </c>
    </row>
    <row r="798" spans="1:8">
      <c r="A798" s="3" t="s">
        <v>964</v>
      </c>
      <c r="B798" s="4" t="s">
        <v>962</v>
      </c>
      <c r="C798" s="4" t="s">
        <v>77</v>
      </c>
      <c r="D798" s="4">
        <v>312</v>
      </c>
      <c r="E798" s="4">
        <v>18</v>
      </c>
      <c r="F798" s="4">
        <v>68</v>
      </c>
      <c r="G798" s="4">
        <v>108</v>
      </c>
      <c r="H798" s="4" t="s">
        <v>120</v>
      </c>
    </row>
    <row r="799" spans="1:8">
      <c r="A799" s="3" t="s">
        <v>965</v>
      </c>
      <c r="B799" s="4" t="s">
        <v>962</v>
      </c>
      <c r="C799" s="4" t="s">
        <v>77</v>
      </c>
      <c r="D799" s="4">
        <v>312</v>
      </c>
      <c r="E799" s="4">
        <v>18</v>
      </c>
      <c r="F799" s="4">
        <v>68</v>
      </c>
      <c r="G799" s="4">
        <v>108</v>
      </c>
      <c r="H799" s="4" t="s">
        <v>120</v>
      </c>
    </row>
    <row r="800" spans="1:8">
      <c r="A800" s="3" t="s">
        <v>966</v>
      </c>
      <c r="B800" s="4" t="s">
        <v>967</v>
      </c>
      <c r="C800" s="4" t="s">
        <v>10</v>
      </c>
      <c r="D800" s="4">
        <v>319</v>
      </c>
      <c r="E800" s="4">
        <v>28</v>
      </c>
      <c r="F800" s="4">
        <v>67.5</v>
      </c>
      <c r="G800" s="4">
        <v>108</v>
      </c>
      <c r="H800" s="4" t="s">
        <v>120</v>
      </c>
    </row>
    <row r="801" spans="1:8">
      <c r="A801" s="3" t="s">
        <v>968</v>
      </c>
      <c r="B801" s="4" t="s">
        <v>967</v>
      </c>
      <c r="C801" s="4" t="s">
        <v>10</v>
      </c>
      <c r="D801" s="4">
        <v>319</v>
      </c>
      <c r="E801" s="4">
        <v>28</v>
      </c>
      <c r="F801" s="4">
        <v>67.5</v>
      </c>
      <c r="G801" s="4">
        <v>108</v>
      </c>
      <c r="H801" s="4" t="s">
        <v>120</v>
      </c>
    </row>
    <row r="802" spans="1:8">
      <c r="A802" s="3" t="s">
        <v>969</v>
      </c>
      <c r="B802" s="4" t="s">
        <v>970</v>
      </c>
      <c r="C802" s="4" t="s">
        <v>10</v>
      </c>
      <c r="D802" s="4">
        <v>319</v>
      </c>
      <c r="E802" s="4">
        <v>22</v>
      </c>
      <c r="F802" s="4">
        <v>70.5</v>
      </c>
      <c r="G802" s="4">
        <v>108</v>
      </c>
      <c r="H802" s="4" t="s">
        <v>120</v>
      </c>
    </row>
    <row r="803" spans="1:8">
      <c r="A803" s="3" t="s">
        <v>971</v>
      </c>
      <c r="B803" s="4" t="s">
        <v>970</v>
      </c>
      <c r="C803" s="4" t="s">
        <v>10</v>
      </c>
      <c r="D803" s="4">
        <f>VLOOKUP(A803,[1]Discos!$C$8:$H$253,6,FALSE)</f>
        <v>319</v>
      </c>
      <c r="E803" s="4">
        <v>22</v>
      </c>
      <c r="F803" s="4">
        <v>70.5</v>
      </c>
      <c r="G803" s="4">
        <v>108</v>
      </c>
      <c r="H803" s="4" t="str">
        <f>VLOOKUP(A803,[1]Discos!$C$8:$L$253,10,FALSE)</f>
        <v>6H</v>
      </c>
    </row>
    <row r="804" spans="1:8">
      <c r="A804" s="3">
        <v>4351204020</v>
      </c>
      <c r="B804" s="4" t="s">
        <v>970</v>
      </c>
      <c r="C804" s="4" t="s">
        <v>10</v>
      </c>
      <c r="D804" s="4">
        <v>319</v>
      </c>
      <c r="E804" s="4">
        <v>22</v>
      </c>
      <c r="F804" s="4">
        <v>70.5</v>
      </c>
      <c r="G804" s="4">
        <v>108</v>
      </c>
      <c r="H804" s="4" t="s">
        <v>120</v>
      </c>
    </row>
    <row r="805" spans="1:8">
      <c r="A805" s="3" t="s">
        <v>972</v>
      </c>
      <c r="B805" s="4" t="s">
        <v>970</v>
      </c>
      <c r="C805" s="4" t="s">
        <v>10</v>
      </c>
      <c r="D805" s="4">
        <v>319</v>
      </c>
      <c r="E805" s="4">
        <v>22</v>
      </c>
      <c r="F805" s="4">
        <v>70.5</v>
      </c>
      <c r="G805" s="4">
        <v>108</v>
      </c>
      <c r="H805" s="4" t="s">
        <v>120</v>
      </c>
    </row>
    <row r="806" spans="1:8">
      <c r="A806" s="3" t="s">
        <v>973</v>
      </c>
      <c r="B806" s="4" t="s">
        <v>974</v>
      </c>
      <c r="C806" s="4" t="s">
        <v>10</v>
      </c>
      <c r="D806" s="4">
        <v>275</v>
      </c>
      <c r="E806" s="4">
        <v>22</v>
      </c>
      <c r="F806" s="4">
        <v>41.5</v>
      </c>
      <c r="G806" s="4">
        <v>55</v>
      </c>
      <c r="H806" s="4" t="s">
        <v>16</v>
      </c>
    </row>
    <row r="807" spans="1:8">
      <c r="A807" s="3" t="s">
        <v>975</v>
      </c>
      <c r="B807" s="4" t="s">
        <v>976</v>
      </c>
      <c r="C807" s="4" t="s">
        <v>10</v>
      </c>
      <c r="D807" s="4">
        <v>275</v>
      </c>
      <c r="E807" s="4">
        <v>25</v>
      </c>
      <c r="F807" s="4">
        <v>49</v>
      </c>
      <c r="G807" s="4">
        <v>62</v>
      </c>
      <c r="H807" s="4" t="s">
        <v>11</v>
      </c>
    </row>
    <row r="808" spans="1:8">
      <c r="A808" s="3" t="s">
        <v>977</v>
      </c>
      <c r="B808" s="4" t="s">
        <v>976</v>
      </c>
      <c r="C808" s="4" t="s">
        <v>10</v>
      </c>
      <c r="D808" s="4">
        <f>VLOOKUP(A808,[1]Discos!$C$8:$H$253,6,FALSE)</f>
        <v>275</v>
      </c>
      <c r="E808" s="4">
        <v>25</v>
      </c>
      <c r="F808" s="4">
        <v>49</v>
      </c>
      <c r="G808" s="4">
        <v>62</v>
      </c>
      <c r="H808" s="4" t="str">
        <f>VLOOKUP(A808,[1]Discos!$C$8:$L$253,10,FALSE)</f>
        <v>5H</v>
      </c>
    </row>
    <row r="809" spans="1:8">
      <c r="A809" s="3">
        <v>4351242030</v>
      </c>
      <c r="B809" s="4" t="s">
        <v>976</v>
      </c>
      <c r="C809" s="4" t="s">
        <v>10</v>
      </c>
      <c r="D809" s="4">
        <v>275</v>
      </c>
      <c r="E809" s="4">
        <v>25</v>
      </c>
      <c r="F809" s="4">
        <v>49</v>
      </c>
      <c r="G809" s="4">
        <v>62</v>
      </c>
      <c r="H809" s="4" t="s">
        <v>11</v>
      </c>
    </row>
    <row r="810" spans="1:8">
      <c r="A810" s="3" t="s">
        <v>978</v>
      </c>
      <c r="B810" s="4" t="s">
        <v>976</v>
      </c>
      <c r="C810" s="4" t="s">
        <v>10</v>
      </c>
      <c r="D810" s="4">
        <v>275</v>
      </c>
      <c r="E810" s="4">
        <v>25</v>
      </c>
      <c r="F810" s="4">
        <v>49</v>
      </c>
      <c r="G810" s="4">
        <v>62</v>
      </c>
      <c r="H810" s="4" t="s">
        <v>11</v>
      </c>
    </row>
    <row r="811" spans="1:8">
      <c r="A811" s="3" t="s">
        <v>979</v>
      </c>
      <c r="B811" s="4" t="s">
        <v>980</v>
      </c>
      <c r="C811" s="4" t="s">
        <v>22</v>
      </c>
      <c r="D811" s="4">
        <v>281</v>
      </c>
      <c r="E811" s="4">
        <v>12</v>
      </c>
      <c r="F811" s="4">
        <v>55</v>
      </c>
      <c r="G811" s="4">
        <v>62</v>
      </c>
      <c r="H811" s="4" t="s">
        <v>11</v>
      </c>
    </row>
    <row r="812" spans="1:8">
      <c r="A812" s="3" t="s">
        <v>981</v>
      </c>
      <c r="B812" s="4" t="s">
        <v>980</v>
      </c>
      <c r="C812" s="4" t="s">
        <v>22</v>
      </c>
      <c r="D812" s="4">
        <f>VLOOKUP(A812,[1]Discos!$C$8:$H$253,6,FALSE)</f>
        <v>281</v>
      </c>
      <c r="E812" s="4">
        <v>12</v>
      </c>
      <c r="F812" s="4">
        <v>55</v>
      </c>
      <c r="G812" s="4">
        <v>62</v>
      </c>
      <c r="H812" s="4" t="str">
        <f>VLOOKUP(A812,[1]Discos!$C$8:$L$253,10,FALSE)</f>
        <v>5H</v>
      </c>
    </row>
    <row r="813" spans="1:8">
      <c r="A813" s="3">
        <v>4243142060</v>
      </c>
      <c r="B813" s="4" t="s">
        <v>980</v>
      </c>
      <c r="C813" s="4" t="s">
        <v>22</v>
      </c>
      <c r="D813" s="4">
        <v>281</v>
      </c>
      <c r="E813" s="4">
        <v>12</v>
      </c>
      <c r="F813" s="4">
        <v>55</v>
      </c>
      <c r="G813" s="4">
        <v>62</v>
      </c>
      <c r="H813" s="4" t="s">
        <v>11</v>
      </c>
    </row>
    <row r="814" spans="1:8">
      <c r="A814" s="3" t="s">
        <v>982</v>
      </c>
      <c r="B814" s="4" t="s">
        <v>980</v>
      </c>
      <c r="C814" s="4" t="s">
        <v>22</v>
      </c>
      <c r="D814" s="4">
        <v>281</v>
      </c>
      <c r="E814" s="4">
        <v>12</v>
      </c>
      <c r="F814" s="4">
        <v>55</v>
      </c>
      <c r="G814" s="4">
        <v>62</v>
      </c>
      <c r="H814" s="4" t="s">
        <v>11</v>
      </c>
    </row>
    <row r="815" spans="1:8">
      <c r="A815" s="3" t="s">
        <v>983</v>
      </c>
      <c r="B815" s="4" t="s">
        <v>984</v>
      </c>
      <c r="C815" s="4" t="s">
        <v>10</v>
      </c>
      <c r="D815" s="4">
        <v>296</v>
      </c>
      <c r="E815" s="4">
        <v>28</v>
      </c>
      <c r="F815" s="4">
        <v>49.5</v>
      </c>
      <c r="G815" s="4">
        <v>62</v>
      </c>
      <c r="H815" s="4" t="s">
        <v>11</v>
      </c>
    </row>
    <row r="816" spans="1:8">
      <c r="A816" s="3">
        <v>4351206090</v>
      </c>
      <c r="B816" s="4" t="s">
        <v>984</v>
      </c>
      <c r="C816" s="4" t="s">
        <v>10</v>
      </c>
      <c r="D816" s="4">
        <v>296</v>
      </c>
      <c r="E816" s="4">
        <v>28</v>
      </c>
      <c r="F816" s="4">
        <v>49.5</v>
      </c>
      <c r="G816" s="4">
        <v>62</v>
      </c>
      <c r="H816" s="4" t="s">
        <v>11</v>
      </c>
    </row>
    <row r="817" spans="1:8">
      <c r="A817" s="3" t="s">
        <v>985</v>
      </c>
      <c r="B817" s="4" t="s">
        <v>984</v>
      </c>
      <c r="C817" s="4" t="s">
        <v>10</v>
      </c>
      <c r="D817" s="4">
        <v>296</v>
      </c>
      <c r="E817" s="4">
        <v>28</v>
      </c>
      <c r="F817" s="4">
        <v>49.5</v>
      </c>
      <c r="G817" s="4">
        <v>62</v>
      </c>
      <c r="H817" s="4" t="s">
        <v>11</v>
      </c>
    </row>
    <row r="818" spans="1:8">
      <c r="A818" s="3" t="s">
        <v>986</v>
      </c>
      <c r="B818" s="4" t="s">
        <v>987</v>
      </c>
      <c r="C818" s="4" t="s">
        <v>10</v>
      </c>
      <c r="D818" s="4">
        <v>305</v>
      </c>
      <c r="E818" s="4">
        <v>28</v>
      </c>
      <c r="F818" s="4">
        <v>49.5</v>
      </c>
      <c r="G818" s="4">
        <v>62</v>
      </c>
      <c r="H818" s="4" t="s">
        <v>11</v>
      </c>
    </row>
    <row r="819" spans="1:8">
      <c r="A819" s="3" t="s">
        <v>988</v>
      </c>
      <c r="B819" s="4" t="s">
        <v>987</v>
      </c>
      <c r="C819" s="4" t="s">
        <v>10</v>
      </c>
      <c r="D819" s="4">
        <f>VLOOKUP(A819,[1]Discos!$C$8:$H$253,6,FALSE)</f>
        <v>305</v>
      </c>
      <c r="E819" s="4">
        <v>28</v>
      </c>
      <c r="F819" s="4">
        <v>49.5</v>
      </c>
      <c r="G819" s="4">
        <v>62</v>
      </c>
      <c r="H819" s="4" t="str">
        <f>VLOOKUP(A819,[1]Discos!$C$8:$L$253,10,FALSE)</f>
        <v>5H</v>
      </c>
    </row>
    <row r="820" spans="1:8">
      <c r="A820" s="3" t="s">
        <v>989</v>
      </c>
      <c r="B820" s="4" t="s">
        <v>987</v>
      </c>
      <c r="C820" s="4" t="s">
        <v>10</v>
      </c>
      <c r="D820" s="4">
        <v>305</v>
      </c>
      <c r="E820" s="4">
        <v>28</v>
      </c>
      <c r="F820" s="4">
        <v>49.5</v>
      </c>
      <c r="G820" s="4">
        <v>62</v>
      </c>
      <c r="H820" s="4" t="s">
        <v>11</v>
      </c>
    </row>
    <row r="821" spans="1:8">
      <c r="A821" s="3" t="s">
        <v>990</v>
      </c>
      <c r="B821" s="4" t="s">
        <v>991</v>
      </c>
      <c r="C821" s="4" t="s">
        <v>10</v>
      </c>
      <c r="D821" s="4">
        <v>238</v>
      </c>
      <c r="E821" s="4">
        <v>18</v>
      </c>
      <c r="F821" s="4">
        <v>43</v>
      </c>
      <c r="G821" s="4">
        <v>55</v>
      </c>
      <c r="H821" s="4" t="s">
        <v>16</v>
      </c>
    </row>
    <row r="822" spans="1:8">
      <c r="A822" s="3" t="s">
        <v>992</v>
      </c>
      <c r="B822" s="4" t="s">
        <v>991</v>
      </c>
      <c r="C822" s="4" t="s">
        <v>10</v>
      </c>
      <c r="D822" s="4">
        <f>VLOOKUP(A822,[1]Discos!$C$8:$H$253,6,FALSE)</f>
        <v>238</v>
      </c>
      <c r="E822" s="4">
        <v>18</v>
      </c>
      <c r="F822" s="4">
        <v>43</v>
      </c>
      <c r="G822" s="4">
        <v>55</v>
      </c>
      <c r="H822" s="4" t="str">
        <f>VLOOKUP(A822,[1]Discos!$C$8:$L$253,10,FALSE)</f>
        <v>4H</v>
      </c>
    </row>
    <row r="823" spans="1:8">
      <c r="A823" s="3">
        <v>4351116120</v>
      </c>
      <c r="B823" s="4" t="s">
        <v>991</v>
      </c>
      <c r="C823" s="4" t="s">
        <v>10</v>
      </c>
      <c r="D823" s="4">
        <v>238</v>
      </c>
      <c r="E823" s="4">
        <v>18</v>
      </c>
      <c r="F823" s="4">
        <v>43</v>
      </c>
      <c r="G823" s="4">
        <v>55</v>
      </c>
      <c r="H823" s="4" t="s">
        <v>16</v>
      </c>
    </row>
    <row r="824" spans="1:8">
      <c r="A824" s="3" t="s">
        <v>993</v>
      </c>
      <c r="B824" s="4" t="s">
        <v>991</v>
      </c>
      <c r="C824" s="4" t="s">
        <v>10</v>
      </c>
      <c r="D824" s="4">
        <v>238</v>
      </c>
      <c r="E824" s="4">
        <v>18</v>
      </c>
      <c r="F824" s="4">
        <v>43</v>
      </c>
      <c r="G824" s="4">
        <v>55</v>
      </c>
      <c r="H824" s="4" t="s">
        <v>16</v>
      </c>
    </row>
    <row r="825" spans="1:8">
      <c r="A825" s="3" t="s">
        <v>994</v>
      </c>
      <c r="B825" s="4" t="s">
        <v>995</v>
      </c>
      <c r="C825" s="4" t="s">
        <v>10</v>
      </c>
      <c r="D825" s="4">
        <v>255</v>
      </c>
      <c r="E825" s="4">
        <v>22</v>
      </c>
      <c r="F825" s="4">
        <v>46.5</v>
      </c>
      <c r="G825" s="4">
        <v>55</v>
      </c>
      <c r="H825" s="4" t="s">
        <v>16</v>
      </c>
    </row>
    <row r="826" spans="1:8">
      <c r="A826" s="3" t="s">
        <v>996</v>
      </c>
      <c r="B826" s="4" t="s">
        <v>995</v>
      </c>
      <c r="C826" s="4" t="s">
        <v>10</v>
      </c>
      <c r="D826" s="4">
        <f>VLOOKUP(A826,[1]Discos!$C$8:$H$253,6,FALSE)</f>
        <v>255</v>
      </c>
      <c r="E826" s="4">
        <v>22</v>
      </c>
      <c r="F826" s="4">
        <v>46.5</v>
      </c>
      <c r="G826" s="4">
        <v>55</v>
      </c>
      <c r="H826" s="4" t="str">
        <f>VLOOKUP(A826,[1]Discos!$C$8:$L$253,10,FALSE)</f>
        <v>4H</v>
      </c>
    </row>
    <row r="827" spans="1:8">
      <c r="A827" s="3">
        <v>4351252120</v>
      </c>
      <c r="B827" s="4" t="s">
        <v>995</v>
      </c>
      <c r="C827" s="4" t="s">
        <v>10</v>
      </c>
      <c r="D827" s="4">
        <v>255</v>
      </c>
      <c r="E827" s="4">
        <v>22</v>
      </c>
      <c r="F827" s="4">
        <v>46.5</v>
      </c>
      <c r="G827" s="4">
        <v>55</v>
      </c>
      <c r="H827" s="4" t="s">
        <v>16</v>
      </c>
    </row>
    <row r="828" spans="1:8">
      <c r="A828" s="3" t="s">
        <v>997</v>
      </c>
      <c r="B828" s="4" t="s">
        <v>995</v>
      </c>
      <c r="C828" s="4" t="s">
        <v>10</v>
      </c>
      <c r="D828" s="4">
        <v>255</v>
      </c>
      <c r="E828" s="4">
        <v>22</v>
      </c>
      <c r="F828" s="4">
        <v>46.5</v>
      </c>
      <c r="G828" s="4">
        <v>55</v>
      </c>
      <c r="H828" s="4" t="s">
        <v>16</v>
      </c>
    </row>
    <row r="829" spans="1:8">
      <c r="A829" s="3" t="s">
        <v>998</v>
      </c>
      <c r="B829" s="4" t="s">
        <v>999</v>
      </c>
      <c r="C829" s="4" t="s">
        <v>10</v>
      </c>
      <c r="D829" s="4">
        <v>257</v>
      </c>
      <c r="E829" s="4">
        <v>22</v>
      </c>
      <c r="F829" s="4">
        <v>45</v>
      </c>
      <c r="G829" s="4">
        <v>55</v>
      </c>
      <c r="H829" s="4" t="s">
        <v>16</v>
      </c>
    </row>
    <row r="830" spans="1:8">
      <c r="A830" s="3" t="s">
        <v>1000</v>
      </c>
      <c r="B830" s="4" t="s">
        <v>999</v>
      </c>
      <c r="C830" s="4" t="s">
        <v>10</v>
      </c>
      <c r="D830" s="4">
        <f>VLOOKUP(A830,[1]Discos!$C$8:$H$253,6,FALSE)</f>
        <v>257</v>
      </c>
      <c r="E830" s="4">
        <v>22</v>
      </c>
      <c r="F830" s="4">
        <v>45</v>
      </c>
      <c r="G830" s="4">
        <v>55</v>
      </c>
      <c r="H830" s="4" t="str">
        <f>VLOOKUP(A830,[1]Discos!$C$8:$L$253,10,FALSE)</f>
        <v>4H</v>
      </c>
    </row>
    <row r="831" spans="1:8">
      <c r="A831" s="3" t="s">
        <v>1001</v>
      </c>
      <c r="B831" s="4" t="s">
        <v>999</v>
      </c>
      <c r="C831" s="4" t="s">
        <v>10</v>
      </c>
      <c r="D831" s="4">
        <v>257</v>
      </c>
      <c r="E831" s="4">
        <v>22</v>
      </c>
      <c r="F831" s="4">
        <v>45</v>
      </c>
      <c r="G831" s="4">
        <v>55</v>
      </c>
      <c r="H831" s="4" t="s">
        <v>16</v>
      </c>
    </row>
    <row r="832" spans="1:8">
      <c r="A832" s="3" t="s">
        <v>1002</v>
      </c>
      <c r="B832" s="4" t="s">
        <v>999</v>
      </c>
      <c r="C832" s="4" t="s">
        <v>10</v>
      </c>
      <c r="D832" s="4">
        <v>257</v>
      </c>
      <c r="E832" s="4">
        <v>22</v>
      </c>
      <c r="F832" s="4">
        <v>45</v>
      </c>
      <c r="G832" s="4">
        <v>55</v>
      </c>
      <c r="H832" s="4" t="s">
        <v>16</v>
      </c>
    </row>
    <row r="833" spans="1:8">
      <c r="A833" s="3" t="s">
        <v>1003</v>
      </c>
      <c r="B833" s="4" t="s">
        <v>1004</v>
      </c>
      <c r="C833" s="4" t="s">
        <v>10</v>
      </c>
      <c r="D833" s="4">
        <v>234.5</v>
      </c>
      <c r="E833" s="4">
        <v>18</v>
      </c>
      <c r="F833" s="4">
        <v>43</v>
      </c>
      <c r="G833" s="4">
        <v>55</v>
      </c>
      <c r="H833" s="4" t="s">
        <v>16</v>
      </c>
    </row>
    <row r="834" spans="1:8">
      <c r="A834" s="3" t="s">
        <v>1005</v>
      </c>
      <c r="B834" s="4" t="s">
        <v>1004</v>
      </c>
      <c r="C834" s="4" t="s">
        <v>10</v>
      </c>
      <c r="D834" s="4">
        <f>VLOOKUP(A834,[1]Discos!$C$8:$H$253,6,FALSE)</f>
        <v>234.5</v>
      </c>
      <c r="E834" s="4">
        <v>18</v>
      </c>
      <c r="F834" s="4">
        <v>43</v>
      </c>
      <c r="G834" s="4">
        <v>55</v>
      </c>
      <c r="H834" s="4" t="str">
        <f>VLOOKUP(A834,[1]Discos!$C$8:$L$253,10,FALSE)</f>
        <v>4H</v>
      </c>
    </row>
    <row r="835" spans="1:8">
      <c r="A835" s="3">
        <v>4351252020</v>
      </c>
      <c r="B835" s="4" t="s">
        <v>1004</v>
      </c>
      <c r="C835" s="4" t="s">
        <v>10</v>
      </c>
      <c r="D835" s="4">
        <v>234.5</v>
      </c>
      <c r="E835" s="4">
        <v>18</v>
      </c>
      <c r="F835" s="4">
        <v>43</v>
      </c>
      <c r="G835" s="4">
        <v>55</v>
      </c>
      <c r="H835" s="4" t="s">
        <v>16</v>
      </c>
    </row>
    <row r="836" spans="1:8">
      <c r="A836" s="3" t="s">
        <v>1006</v>
      </c>
      <c r="B836" s="4" t="s">
        <v>1004</v>
      </c>
      <c r="C836" s="4" t="s">
        <v>10</v>
      </c>
      <c r="D836" s="4">
        <v>234.5</v>
      </c>
      <c r="E836" s="4">
        <v>18</v>
      </c>
      <c r="F836" s="4">
        <v>43</v>
      </c>
      <c r="G836" s="4">
        <v>55</v>
      </c>
      <c r="H836" s="4" t="s">
        <v>16</v>
      </c>
    </row>
    <row r="837" spans="1:8">
      <c r="A837" s="3" t="s">
        <v>1007</v>
      </c>
      <c r="B837" s="4" t="s">
        <v>1008</v>
      </c>
      <c r="C837" s="4" t="s">
        <v>156</v>
      </c>
      <c r="D837" s="4">
        <v>256</v>
      </c>
      <c r="E837" s="4">
        <v>13</v>
      </c>
      <c r="F837" s="4">
        <v>39</v>
      </c>
      <c r="G837" s="4">
        <v>65</v>
      </c>
      <c r="H837" s="4" t="s">
        <v>16</v>
      </c>
    </row>
    <row r="838" spans="1:8">
      <c r="A838" s="3" t="s">
        <v>1009</v>
      </c>
      <c r="B838" s="4" t="s">
        <v>1008</v>
      </c>
      <c r="C838" s="4" t="s">
        <v>156</v>
      </c>
      <c r="D838" s="4">
        <f>VLOOKUP(A838,[1]Discos!$C$8:$H$253,6,FALSE)</f>
        <v>256</v>
      </c>
      <c r="E838" s="4">
        <v>13</v>
      </c>
      <c r="F838" s="4">
        <v>39</v>
      </c>
      <c r="G838" s="4">
        <v>65</v>
      </c>
      <c r="H838" s="4" t="str">
        <f>VLOOKUP(A838,[1]Discos!$C$8:$L$253,10,FALSE)</f>
        <v>4H</v>
      </c>
    </row>
    <row r="839" spans="1:8">
      <c r="A839" s="3" t="s">
        <v>1010</v>
      </c>
      <c r="B839" s="4" t="s">
        <v>1011</v>
      </c>
      <c r="C839" s="4" t="s">
        <v>10</v>
      </c>
      <c r="D839" s="4">
        <v>303</v>
      </c>
      <c r="E839" s="4">
        <v>28</v>
      </c>
      <c r="F839" s="4">
        <v>57</v>
      </c>
      <c r="G839" s="4">
        <v>76</v>
      </c>
      <c r="H839" s="4" t="s">
        <v>11</v>
      </c>
    </row>
    <row r="840" spans="1:8">
      <c r="A840" s="5" t="s">
        <v>1012</v>
      </c>
      <c r="B840" s="4" t="s">
        <v>1011</v>
      </c>
      <c r="C840" s="4" t="s">
        <v>10</v>
      </c>
      <c r="D840" s="4">
        <f>VLOOKUP(A840,[1]Discos!$C$8:$H$253,6,FALSE)</f>
        <v>303</v>
      </c>
      <c r="E840" s="4">
        <v>28</v>
      </c>
      <c r="F840" s="4">
        <v>57</v>
      </c>
      <c r="G840" s="4">
        <v>76</v>
      </c>
      <c r="H840" s="4" t="str">
        <f>VLOOKUP(A840,[1]Discos!$C$8:$L$253,10,FALSE)</f>
        <v>5H</v>
      </c>
    </row>
    <row r="841" spans="1:8">
      <c r="A841" s="3" t="s">
        <v>1013</v>
      </c>
      <c r="B841" s="4" t="s">
        <v>1011</v>
      </c>
      <c r="C841" s="4" t="s">
        <v>10</v>
      </c>
      <c r="D841" s="4">
        <v>303</v>
      </c>
      <c r="E841" s="4">
        <v>28</v>
      </c>
      <c r="F841" s="4">
        <v>57</v>
      </c>
      <c r="G841" s="4">
        <v>76</v>
      </c>
      <c r="H841" s="4" t="s">
        <v>11</v>
      </c>
    </row>
    <row r="842" spans="1:8">
      <c r="A842" s="3" t="s">
        <v>1014</v>
      </c>
      <c r="B842" s="4" t="s">
        <v>1011</v>
      </c>
      <c r="C842" s="4" t="s">
        <v>10</v>
      </c>
      <c r="D842" s="4">
        <v>303</v>
      </c>
      <c r="E842" s="4">
        <v>28</v>
      </c>
      <c r="F842" s="4">
        <v>57</v>
      </c>
      <c r="G842" s="4">
        <v>76</v>
      </c>
      <c r="H842" s="4" t="s">
        <v>11</v>
      </c>
    </row>
    <row r="843" spans="1:8">
      <c r="A843" s="3" t="s">
        <v>1015</v>
      </c>
      <c r="B843" s="4" t="s">
        <v>1016</v>
      </c>
      <c r="C843" s="4" t="s">
        <v>10</v>
      </c>
      <c r="D843" s="4">
        <v>280</v>
      </c>
      <c r="E843" s="4">
        <v>22</v>
      </c>
      <c r="F843" s="4">
        <v>37</v>
      </c>
      <c r="G843" s="4">
        <v>65</v>
      </c>
      <c r="H843" s="4" t="s">
        <v>11</v>
      </c>
    </row>
    <row r="844" spans="1:8">
      <c r="A844" s="3" t="s">
        <v>1017</v>
      </c>
      <c r="B844" s="4" t="s">
        <v>1016</v>
      </c>
      <c r="C844" s="4" t="s">
        <v>10</v>
      </c>
      <c r="D844" s="4">
        <f>VLOOKUP(A844,[1]Discos!$C$8:$H$253,6,FALSE)</f>
        <v>280</v>
      </c>
      <c r="E844" s="4">
        <v>22</v>
      </c>
      <c r="F844" s="4">
        <v>37</v>
      </c>
      <c r="G844" s="4">
        <v>65</v>
      </c>
      <c r="H844" s="4" t="str">
        <f>VLOOKUP(A844,[1]Discos!$C$8:$L$253,10,FALSE)</f>
        <v>5H</v>
      </c>
    </row>
    <row r="845" spans="1:8">
      <c r="A845" s="5" t="s">
        <v>1018</v>
      </c>
      <c r="B845" s="4" t="s">
        <v>1016</v>
      </c>
      <c r="C845" s="4" t="s">
        <v>10</v>
      </c>
      <c r="D845" s="4">
        <v>280</v>
      </c>
      <c r="E845" s="4">
        <v>22</v>
      </c>
      <c r="F845" s="4">
        <v>37</v>
      </c>
      <c r="G845" s="4">
        <v>65</v>
      </c>
      <c r="H845" s="4" t="s">
        <v>11</v>
      </c>
    </row>
    <row r="846" spans="1:8">
      <c r="A846" s="5" t="s">
        <v>1019</v>
      </c>
      <c r="B846" s="4" t="s">
        <v>1016</v>
      </c>
      <c r="C846" s="4" t="s">
        <v>10</v>
      </c>
      <c r="D846" s="4">
        <v>280</v>
      </c>
      <c r="E846" s="4">
        <v>22</v>
      </c>
      <c r="F846" s="4">
        <v>37</v>
      </c>
      <c r="G846" s="4">
        <v>65</v>
      </c>
      <c r="H846" s="4" t="s">
        <v>11</v>
      </c>
    </row>
    <row r="847" spans="1:8">
      <c r="A847" s="3" t="s">
        <v>1020</v>
      </c>
      <c r="B847" s="4" t="s">
        <v>1021</v>
      </c>
      <c r="C847" s="4" t="s">
        <v>156</v>
      </c>
      <c r="D847" s="4">
        <v>239</v>
      </c>
      <c r="E847" s="4">
        <v>12</v>
      </c>
      <c r="F847" s="4">
        <v>35.5</v>
      </c>
      <c r="G847" s="4">
        <v>65</v>
      </c>
      <c r="H847" s="4" t="s">
        <v>16</v>
      </c>
    </row>
    <row r="848" spans="1:8">
      <c r="A848" s="3" t="s">
        <v>1022</v>
      </c>
      <c r="B848" s="4" t="s">
        <v>1021</v>
      </c>
      <c r="C848" s="4" t="s">
        <v>156</v>
      </c>
      <c r="D848" s="4">
        <f>VLOOKUP(A848,[1]Discos!$C$8:$H$253,6,FALSE)</f>
        <v>239</v>
      </c>
      <c r="E848" s="4">
        <v>12</v>
      </c>
      <c r="F848" s="4">
        <v>35.5</v>
      </c>
      <c r="G848" s="4">
        <v>65</v>
      </c>
      <c r="H848" s="4" t="str">
        <f>VLOOKUP(A848,[1]Discos!$C$8:$L$253,10,FALSE)</f>
        <v>4H</v>
      </c>
    </row>
    <row r="849" spans="1:8">
      <c r="A849" s="5" t="s">
        <v>1023</v>
      </c>
      <c r="B849" s="4" t="s">
        <v>1021</v>
      </c>
      <c r="C849" s="4" t="s">
        <v>156</v>
      </c>
      <c r="D849" s="4">
        <v>239</v>
      </c>
      <c r="E849" s="4">
        <v>12</v>
      </c>
      <c r="F849" s="4">
        <v>35.5</v>
      </c>
      <c r="G849" s="4">
        <v>65</v>
      </c>
      <c r="H849" s="4" t="s">
        <v>16</v>
      </c>
    </row>
    <row r="850" spans="1:8">
      <c r="A850" s="3" t="s">
        <v>1024</v>
      </c>
      <c r="B850" s="4" t="s">
        <v>1021</v>
      </c>
      <c r="C850" s="4" t="s">
        <v>156</v>
      </c>
      <c r="D850" s="4">
        <v>239</v>
      </c>
      <c r="E850" s="4">
        <v>12</v>
      </c>
      <c r="F850" s="4">
        <v>35.5</v>
      </c>
      <c r="G850" s="4">
        <v>65</v>
      </c>
      <c r="H850" s="4" t="s">
        <v>16</v>
      </c>
    </row>
    <row r="851" spans="1:8">
      <c r="A851" s="3" t="s">
        <v>1025</v>
      </c>
      <c r="B851" s="4" t="s">
        <v>1026</v>
      </c>
      <c r="C851" s="4" t="s">
        <v>10</v>
      </c>
      <c r="D851" s="4">
        <v>239</v>
      </c>
      <c r="E851" s="4">
        <v>20</v>
      </c>
      <c r="F851" s="4">
        <v>39</v>
      </c>
      <c r="G851" s="4">
        <v>65</v>
      </c>
      <c r="H851" s="4" t="s">
        <v>16</v>
      </c>
    </row>
    <row r="852" spans="1:8">
      <c r="A852" s="3" t="s">
        <v>1027</v>
      </c>
      <c r="B852" s="4" t="s">
        <v>1026</v>
      </c>
      <c r="C852" s="4" t="s">
        <v>10</v>
      </c>
      <c r="D852" s="4">
        <f>VLOOKUP(A852,[1]Discos!$C$8:$H$253,6,FALSE)</f>
        <v>239</v>
      </c>
      <c r="E852" s="4">
        <v>20</v>
      </c>
      <c r="F852" s="4">
        <v>39</v>
      </c>
      <c r="G852" s="4">
        <v>65</v>
      </c>
      <c r="H852" s="4" t="str">
        <f>VLOOKUP(A852,[1]Discos!$C$8:$L$253,10,FALSE)</f>
        <v>4H</v>
      </c>
    </row>
    <row r="853" spans="1:8">
      <c r="A853" s="5" t="s">
        <v>1028</v>
      </c>
      <c r="B853" s="4" t="s">
        <v>1026</v>
      </c>
      <c r="C853" s="4" t="s">
        <v>10</v>
      </c>
      <c r="D853" s="4">
        <v>239</v>
      </c>
      <c r="E853" s="4">
        <v>20</v>
      </c>
      <c r="F853" s="4">
        <v>39</v>
      </c>
      <c r="G853" s="4">
        <v>65</v>
      </c>
      <c r="H853" s="4" t="s">
        <v>16</v>
      </c>
    </row>
    <row r="854" spans="1:8">
      <c r="A854" s="3" t="s">
        <v>1029</v>
      </c>
      <c r="B854" s="4" t="s">
        <v>1026</v>
      </c>
      <c r="C854" s="4" t="s">
        <v>10</v>
      </c>
      <c r="D854" s="4">
        <v>239</v>
      </c>
      <c r="E854" s="4">
        <v>20</v>
      </c>
      <c r="F854" s="4">
        <v>39</v>
      </c>
      <c r="G854" s="4">
        <v>65</v>
      </c>
      <c r="H854" s="4" t="s">
        <v>16</v>
      </c>
    </row>
    <row r="855" spans="1:8">
      <c r="A855" s="3" t="s">
        <v>1030</v>
      </c>
      <c r="B855" s="4" t="s">
        <v>1031</v>
      </c>
      <c r="C855" s="4" t="s">
        <v>10</v>
      </c>
      <c r="D855" s="4">
        <v>256</v>
      </c>
      <c r="E855" s="4">
        <v>18</v>
      </c>
      <c r="F855" s="4">
        <v>34</v>
      </c>
      <c r="G855" s="4">
        <v>65</v>
      </c>
      <c r="H855" s="4" t="s">
        <v>16</v>
      </c>
    </row>
    <row r="856" spans="1:8">
      <c r="A856" s="3" t="s">
        <v>1032</v>
      </c>
      <c r="B856" s="4" t="s">
        <v>1031</v>
      </c>
      <c r="C856" s="4" t="s">
        <v>10</v>
      </c>
      <c r="D856" s="4">
        <f>VLOOKUP(A856,[1]Discos!$C$8:$H$253,6,FALSE)</f>
        <v>256</v>
      </c>
      <c r="E856" s="4">
        <v>18</v>
      </c>
      <c r="F856" s="4">
        <v>34</v>
      </c>
      <c r="G856" s="4">
        <v>65</v>
      </c>
      <c r="H856" s="4" t="str">
        <f>VLOOKUP(A856,[1]Discos!$C$8:$L$253,10,FALSE)</f>
        <v>4H</v>
      </c>
    </row>
    <row r="857" spans="1:8">
      <c r="A857" s="5" t="s">
        <v>1033</v>
      </c>
      <c r="B857" s="4" t="s">
        <v>1031</v>
      </c>
      <c r="C857" s="4" t="s">
        <v>10</v>
      </c>
      <c r="D857" s="4">
        <v>256</v>
      </c>
      <c r="E857" s="4">
        <v>18</v>
      </c>
      <c r="F857" s="4">
        <v>34</v>
      </c>
      <c r="G857" s="4">
        <v>65</v>
      </c>
      <c r="H857" s="4" t="s">
        <v>16</v>
      </c>
    </row>
    <row r="858" spans="1:8">
      <c r="A858" s="3" t="s">
        <v>1034</v>
      </c>
      <c r="B858" s="4" t="s">
        <v>1031</v>
      </c>
      <c r="C858" s="4" t="s">
        <v>10</v>
      </c>
      <c r="D858" s="4">
        <v>256</v>
      </c>
      <c r="E858" s="4">
        <v>18</v>
      </c>
      <c r="F858" s="4">
        <v>34</v>
      </c>
      <c r="G858" s="4">
        <v>65</v>
      </c>
      <c r="H858" s="4" t="s">
        <v>16</v>
      </c>
    </row>
    <row r="859" spans="1:8">
      <c r="A859" s="3" t="s">
        <v>1035</v>
      </c>
      <c r="B859" s="4" t="s">
        <v>1036</v>
      </c>
      <c r="C859" s="4" t="s">
        <v>10</v>
      </c>
      <c r="D859" s="4">
        <v>256</v>
      </c>
      <c r="E859" s="4">
        <v>22</v>
      </c>
      <c r="F859" s="4">
        <v>36.5</v>
      </c>
      <c r="G859" s="4">
        <v>65</v>
      </c>
      <c r="H859" s="4" t="s">
        <v>11</v>
      </c>
    </row>
    <row r="860" spans="1:8">
      <c r="A860" s="3" t="s">
        <v>1037</v>
      </c>
      <c r="B860" s="4" t="s">
        <v>1036</v>
      </c>
      <c r="C860" s="4" t="s">
        <v>10</v>
      </c>
      <c r="D860" s="4">
        <f>VLOOKUP(A860,[1]Discos!$C$8:$H$253,6,FALSE)</f>
        <v>256</v>
      </c>
      <c r="E860" s="4">
        <v>22</v>
      </c>
      <c r="F860" s="4">
        <v>36.5</v>
      </c>
      <c r="G860" s="4">
        <v>65</v>
      </c>
      <c r="H860" s="4" t="str">
        <f>VLOOKUP(A860,[1]Discos!$C$8:$L$253,10,FALSE)</f>
        <v>5H</v>
      </c>
    </row>
    <row r="861" spans="1:8">
      <c r="A861" s="5" t="s">
        <v>1037</v>
      </c>
      <c r="B861" s="4" t="s">
        <v>1036</v>
      </c>
      <c r="C861" s="4" t="s">
        <v>10</v>
      </c>
      <c r="D861" s="4">
        <f>VLOOKUP(A861,[1]Discos!$C$8:$H$253,6,FALSE)</f>
        <v>256</v>
      </c>
      <c r="E861" s="4">
        <v>22</v>
      </c>
      <c r="F861" s="4">
        <v>36.5</v>
      </c>
      <c r="G861" s="4">
        <v>65</v>
      </c>
      <c r="H861" s="4" t="str">
        <f>VLOOKUP(A861,[1]Discos!$C$8:$L$253,10,FALSE)</f>
        <v>5H</v>
      </c>
    </row>
    <row r="862" spans="1:8">
      <c r="A862" s="5" t="s">
        <v>1038</v>
      </c>
      <c r="B862" s="4" t="s">
        <v>1036</v>
      </c>
      <c r="C862" s="4" t="s">
        <v>10</v>
      </c>
      <c r="D862" s="4">
        <v>256</v>
      </c>
      <c r="E862" s="4">
        <v>22</v>
      </c>
      <c r="F862" s="4">
        <v>36.5</v>
      </c>
      <c r="G862" s="4">
        <v>65</v>
      </c>
      <c r="H862" s="4" t="s">
        <v>11</v>
      </c>
    </row>
    <row r="863" spans="1:8">
      <c r="A863" s="5" t="s">
        <v>1039</v>
      </c>
      <c r="B863" s="4" t="s">
        <v>1036</v>
      </c>
      <c r="C863" s="4" t="s">
        <v>10</v>
      </c>
      <c r="D863" s="4">
        <v>256</v>
      </c>
      <c r="E863" s="4">
        <v>22</v>
      </c>
      <c r="F863" s="4">
        <v>36.5</v>
      </c>
      <c r="G863" s="4">
        <v>65</v>
      </c>
      <c r="H863" s="4" t="s">
        <v>11</v>
      </c>
    </row>
    <row r="864" spans="1:8">
      <c r="A864" s="3" t="s">
        <v>1040</v>
      </c>
      <c r="B864" s="4" t="s">
        <v>1041</v>
      </c>
      <c r="C864" s="4" t="s">
        <v>10</v>
      </c>
      <c r="D864" s="4">
        <v>280</v>
      </c>
      <c r="E864" s="4">
        <v>22</v>
      </c>
      <c r="F864" s="4">
        <v>36.5</v>
      </c>
      <c r="G864" s="4">
        <v>65</v>
      </c>
      <c r="H864" s="4" t="s">
        <v>11</v>
      </c>
    </row>
    <row r="865" spans="1:8">
      <c r="A865" s="3" t="s">
        <v>1042</v>
      </c>
      <c r="B865" s="4" t="s">
        <v>1041</v>
      </c>
      <c r="C865" s="4" t="s">
        <v>10</v>
      </c>
      <c r="D865" s="4">
        <f>VLOOKUP(A865,[1]Discos!$C$8:$H$253,6,FALSE)</f>
        <v>280</v>
      </c>
      <c r="E865" s="4">
        <v>22</v>
      </c>
      <c r="F865" s="4">
        <v>36.5</v>
      </c>
      <c r="G865" s="4">
        <v>65</v>
      </c>
      <c r="H865" s="4" t="str">
        <f>VLOOKUP(A865,[1]Discos!$C$8:$L$253,10,FALSE)</f>
        <v>5H</v>
      </c>
    </row>
    <row r="866" spans="1:8">
      <c r="A866" s="5" t="s">
        <v>1043</v>
      </c>
      <c r="B866" s="4" t="s">
        <v>1041</v>
      </c>
      <c r="C866" s="4" t="s">
        <v>10</v>
      </c>
      <c r="D866" s="4">
        <v>280</v>
      </c>
      <c r="E866" s="4">
        <v>22</v>
      </c>
      <c r="F866" s="4">
        <v>36.5</v>
      </c>
      <c r="G866" s="4">
        <v>65</v>
      </c>
      <c r="H866" s="4" t="s">
        <v>11</v>
      </c>
    </row>
    <row r="867" spans="1:8">
      <c r="A867" s="5" t="s">
        <v>1044</v>
      </c>
      <c r="B867" s="4" t="s">
        <v>1041</v>
      </c>
      <c r="C867" s="4" t="s">
        <v>10</v>
      </c>
      <c r="D867" s="4">
        <v>280</v>
      </c>
      <c r="E867" s="4">
        <v>22</v>
      </c>
      <c r="F867" s="4">
        <v>36.5</v>
      </c>
      <c r="G867" s="4">
        <v>65</v>
      </c>
      <c r="H867" s="4" t="s">
        <v>11</v>
      </c>
    </row>
    <row r="868" spans="1:8">
      <c r="A868" s="3" t="s">
        <v>1045</v>
      </c>
      <c r="B868" s="4" t="s">
        <v>1046</v>
      </c>
      <c r="C868" s="4" t="s">
        <v>10</v>
      </c>
      <c r="D868" s="4">
        <v>280</v>
      </c>
      <c r="E868" s="4">
        <v>22</v>
      </c>
      <c r="F868" s="4">
        <v>50</v>
      </c>
      <c r="G868" s="4">
        <v>65</v>
      </c>
      <c r="H868" s="4" t="s">
        <v>11</v>
      </c>
    </row>
    <row r="869" spans="1:8">
      <c r="A869" s="5" t="s">
        <v>1047</v>
      </c>
      <c r="B869" s="4" t="s">
        <v>1046</v>
      </c>
      <c r="C869" s="4" t="s">
        <v>10</v>
      </c>
      <c r="D869" s="4">
        <f>VLOOKUP(A869,[1]Discos!$C$8:$H$253,6,FALSE)</f>
        <v>280</v>
      </c>
      <c r="E869" s="4">
        <v>22</v>
      </c>
      <c r="F869" s="4">
        <v>50</v>
      </c>
      <c r="G869" s="4">
        <v>65</v>
      </c>
      <c r="H869" s="4" t="str">
        <f>VLOOKUP(A869,[1]Discos!$C$8:$L$253,10,FALSE)</f>
        <v>5H</v>
      </c>
    </row>
    <row r="870" spans="1:8">
      <c r="A870" s="3" t="s">
        <v>1048</v>
      </c>
      <c r="B870" s="4" t="s">
        <v>1046</v>
      </c>
      <c r="C870" s="4" t="s">
        <v>10</v>
      </c>
      <c r="D870" s="4">
        <v>280</v>
      </c>
      <c r="E870" s="4">
        <v>22</v>
      </c>
      <c r="F870" s="4">
        <v>50</v>
      </c>
      <c r="G870" s="4">
        <v>65</v>
      </c>
      <c r="H870" s="4" t="s">
        <v>11</v>
      </c>
    </row>
    <row r="871" spans="1:8">
      <c r="A871" s="3" t="s">
        <v>1049</v>
      </c>
      <c r="B871" s="4" t="s">
        <v>1046</v>
      </c>
      <c r="C871" s="4" t="s">
        <v>10</v>
      </c>
      <c r="D871" s="4">
        <v>280</v>
      </c>
      <c r="E871" s="4">
        <v>22</v>
      </c>
      <c r="F871" s="4">
        <v>50</v>
      </c>
      <c r="G871" s="4">
        <v>65</v>
      </c>
      <c r="H871" s="4" t="s">
        <v>11</v>
      </c>
    </row>
    <row r="872" spans="1:8">
      <c r="A872" s="3" t="s">
        <v>1050</v>
      </c>
      <c r="B872" s="4" t="s">
        <v>1051</v>
      </c>
      <c r="C872" s="4" t="s">
        <v>22</v>
      </c>
      <c r="D872" s="4">
        <v>232</v>
      </c>
      <c r="E872" s="4">
        <v>9</v>
      </c>
      <c r="F872" s="4">
        <v>39.299999999999997</v>
      </c>
      <c r="G872" s="4">
        <v>65</v>
      </c>
      <c r="H872" s="4" t="s">
        <v>11</v>
      </c>
    </row>
    <row r="873" spans="1:8">
      <c r="A873" s="3" t="s">
        <v>1052</v>
      </c>
      <c r="B873" s="4" t="s">
        <v>1051</v>
      </c>
      <c r="C873" s="4" t="s">
        <v>22</v>
      </c>
      <c r="D873" s="4">
        <f>VLOOKUP(A873,[1]Discos!$C$8:$H$253,6,FALSE)</f>
        <v>232</v>
      </c>
      <c r="E873" s="4">
        <v>9</v>
      </c>
      <c r="F873" s="4">
        <v>39.299999999999997</v>
      </c>
      <c r="G873" s="4">
        <v>65</v>
      </c>
      <c r="H873" s="4" t="str">
        <f>VLOOKUP(A873,[1]Discos!$C$8:$L$253,10,FALSE)</f>
        <v>5H</v>
      </c>
    </row>
    <row r="874" spans="1:8">
      <c r="A874" s="5" t="s">
        <v>1053</v>
      </c>
      <c r="B874" s="4" t="s">
        <v>1051</v>
      </c>
      <c r="C874" s="4" t="s">
        <v>22</v>
      </c>
      <c r="D874" s="4">
        <v>232</v>
      </c>
      <c r="E874" s="4">
        <v>9</v>
      </c>
      <c r="F874" s="4">
        <v>39.299999999999997</v>
      </c>
      <c r="G874" s="4">
        <v>65</v>
      </c>
      <c r="H874" s="4" t="s">
        <v>11</v>
      </c>
    </row>
    <row r="875" spans="1:8">
      <c r="A875" s="5" t="s">
        <v>1054</v>
      </c>
      <c r="B875" s="4" t="s">
        <v>1051</v>
      </c>
      <c r="C875" s="4" t="s">
        <v>22</v>
      </c>
      <c r="D875" s="4">
        <v>232</v>
      </c>
      <c r="E875" s="4">
        <v>9</v>
      </c>
      <c r="F875" s="4">
        <v>39.299999999999997</v>
      </c>
      <c r="G875" s="4">
        <v>65</v>
      </c>
      <c r="H875" s="4" t="s">
        <v>11</v>
      </c>
    </row>
    <row r="876" spans="1:8">
      <c r="A876" s="3" t="s">
        <v>1055</v>
      </c>
      <c r="B876" s="4" t="s">
        <v>1056</v>
      </c>
      <c r="C876" s="4" t="s">
        <v>10</v>
      </c>
      <c r="D876" s="4">
        <v>256</v>
      </c>
      <c r="E876" s="4">
        <v>25</v>
      </c>
      <c r="F876" s="4">
        <v>39.5</v>
      </c>
      <c r="G876" s="4">
        <v>65</v>
      </c>
      <c r="H876" s="4" t="s">
        <v>16</v>
      </c>
    </row>
    <row r="877" spans="1:8">
      <c r="A877" s="3" t="s">
        <v>1057</v>
      </c>
      <c r="B877" s="4" t="s">
        <v>1056</v>
      </c>
      <c r="C877" s="4" t="s">
        <v>10</v>
      </c>
      <c r="D877" s="4">
        <v>256</v>
      </c>
      <c r="E877" s="4">
        <v>25</v>
      </c>
      <c r="F877" s="4">
        <v>39.5</v>
      </c>
      <c r="G877" s="4">
        <v>65</v>
      </c>
      <c r="H877" s="4" t="s">
        <v>16</v>
      </c>
    </row>
    <row r="878" spans="1:8">
      <c r="A878" s="3" t="s">
        <v>1058</v>
      </c>
      <c r="B878" s="4" t="s">
        <v>1056</v>
      </c>
      <c r="C878" s="4" t="s">
        <v>10</v>
      </c>
      <c r="D878" s="4">
        <v>256</v>
      </c>
      <c r="E878" s="4">
        <v>25</v>
      </c>
      <c r="F878" s="4">
        <v>39.5</v>
      </c>
      <c r="G878" s="4">
        <v>65</v>
      </c>
      <c r="H878" s="4" t="s">
        <v>16</v>
      </c>
    </row>
    <row r="879" spans="1:8">
      <c r="A879" s="3" t="s">
        <v>1059</v>
      </c>
      <c r="B879" s="4" t="s">
        <v>1060</v>
      </c>
      <c r="C879" s="4" t="s">
        <v>10</v>
      </c>
      <c r="D879" s="4">
        <v>288</v>
      </c>
      <c r="E879" s="4">
        <v>25</v>
      </c>
      <c r="F879" s="4">
        <v>28.2</v>
      </c>
      <c r="G879" s="4">
        <v>65</v>
      </c>
      <c r="H879" s="4" t="s">
        <v>11</v>
      </c>
    </row>
    <row r="880" spans="1:8">
      <c r="A880" s="5" t="s">
        <v>1061</v>
      </c>
      <c r="B880" s="4" t="s">
        <v>1060</v>
      </c>
      <c r="C880" s="4" t="s">
        <v>10</v>
      </c>
      <c r="D880" s="4">
        <f>VLOOKUP(A880,[1]Discos!$C$8:$H$253,6,FALSE)</f>
        <v>288</v>
      </c>
      <c r="E880" s="4">
        <v>25</v>
      </c>
      <c r="F880" s="4">
        <v>28.2</v>
      </c>
      <c r="G880" s="4">
        <v>65</v>
      </c>
      <c r="H880" s="4" t="str">
        <f>VLOOKUP(A880,[1]Discos!$C$8:$L$253,10,FALSE)</f>
        <v>5H</v>
      </c>
    </row>
    <row r="881" spans="1:8">
      <c r="A881" s="3" t="s">
        <v>1062</v>
      </c>
      <c r="B881" s="4" t="s">
        <v>1060</v>
      </c>
      <c r="C881" s="4" t="s">
        <v>10</v>
      </c>
      <c r="D881" s="4">
        <v>288</v>
      </c>
      <c r="E881" s="4">
        <v>25</v>
      </c>
      <c r="F881" s="4">
        <v>28.2</v>
      </c>
      <c r="G881" s="4">
        <v>65</v>
      </c>
      <c r="H881" s="4" t="s">
        <v>11</v>
      </c>
    </row>
    <row r="882" spans="1:8">
      <c r="A882" s="3" t="s">
        <v>1063</v>
      </c>
      <c r="B882" s="4" t="s">
        <v>1060</v>
      </c>
      <c r="C882" s="4" t="s">
        <v>10</v>
      </c>
      <c r="D882" s="4">
        <v>288</v>
      </c>
      <c r="E882" s="4">
        <v>25</v>
      </c>
      <c r="F882" s="4">
        <v>28.2</v>
      </c>
      <c r="G882" s="4">
        <v>65</v>
      </c>
      <c r="H882" s="4" t="s">
        <v>11</v>
      </c>
    </row>
    <row r="883" spans="1:8">
      <c r="A883" s="3" t="s">
        <v>1064</v>
      </c>
      <c r="B883" s="4" t="s">
        <v>1065</v>
      </c>
      <c r="C883" s="4" t="s">
        <v>10</v>
      </c>
      <c r="D883" s="4">
        <v>256</v>
      </c>
      <c r="E883" s="4">
        <v>22</v>
      </c>
      <c r="F883" s="4">
        <v>44</v>
      </c>
      <c r="G883" s="4">
        <v>65</v>
      </c>
      <c r="H883" s="4" t="s">
        <v>11</v>
      </c>
    </row>
    <row r="884" spans="1:8">
      <c r="A884" s="3" t="s">
        <v>1066</v>
      </c>
      <c r="B884" s="4" t="s">
        <v>1065</v>
      </c>
      <c r="C884" s="4" t="s">
        <v>10</v>
      </c>
      <c r="D884" s="4">
        <f>VLOOKUP(A884,[1]Discos!$C$8:$H$253,6,FALSE)</f>
        <v>256</v>
      </c>
      <c r="E884" s="4">
        <v>22</v>
      </c>
      <c r="F884" s="4">
        <v>44</v>
      </c>
      <c r="G884" s="4">
        <v>65</v>
      </c>
      <c r="H884" s="4" t="str">
        <f>VLOOKUP(A884,[1]Discos!$C$8:$L$253,10,FALSE)</f>
        <v>5H</v>
      </c>
    </row>
    <row r="885" spans="1:8">
      <c r="A885" s="5" t="s">
        <v>1067</v>
      </c>
      <c r="B885" s="4" t="s">
        <v>1065</v>
      </c>
      <c r="C885" s="4" t="s">
        <v>10</v>
      </c>
      <c r="D885" s="4">
        <v>256</v>
      </c>
      <c r="E885" s="4">
        <v>22</v>
      </c>
      <c r="F885" s="4">
        <v>44</v>
      </c>
      <c r="G885" s="4">
        <v>65</v>
      </c>
      <c r="H885" s="4" t="s">
        <v>11</v>
      </c>
    </row>
    <row r="886" spans="1:8">
      <c r="A886" s="5" t="s">
        <v>1068</v>
      </c>
      <c r="B886" s="4" t="s">
        <v>1065</v>
      </c>
      <c r="C886" s="4" t="s">
        <v>10</v>
      </c>
      <c r="D886" s="4">
        <v>256</v>
      </c>
      <c r="E886" s="4">
        <v>22</v>
      </c>
      <c r="F886" s="4">
        <v>44</v>
      </c>
      <c r="G886" s="4">
        <v>65</v>
      </c>
      <c r="H886" s="4" t="s">
        <v>11</v>
      </c>
    </row>
    <row r="887" spans="1:8">
      <c r="A887" s="3" t="s">
        <v>1069</v>
      </c>
      <c r="B887" s="4" t="s">
        <v>1070</v>
      </c>
      <c r="C887" s="4" t="s">
        <v>22</v>
      </c>
      <c r="D887" s="4">
        <v>230</v>
      </c>
      <c r="E887" s="4">
        <v>9</v>
      </c>
      <c r="F887" s="4">
        <v>41</v>
      </c>
      <c r="G887" s="4">
        <v>65</v>
      </c>
      <c r="H887" s="4" t="s">
        <v>16</v>
      </c>
    </row>
    <row r="888" spans="1:8">
      <c r="A888" s="3" t="s">
        <v>1071</v>
      </c>
      <c r="B888" s="4" t="s">
        <v>1070</v>
      </c>
      <c r="C888" s="4" t="s">
        <v>10</v>
      </c>
      <c r="D888" s="4">
        <v>256</v>
      </c>
      <c r="E888" s="4">
        <v>22</v>
      </c>
      <c r="F888" s="4">
        <v>36.5</v>
      </c>
      <c r="G888" s="4">
        <v>65</v>
      </c>
      <c r="H888" s="4" t="s">
        <v>16</v>
      </c>
    </row>
    <row r="889" spans="1:8">
      <c r="A889" s="3" t="s">
        <v>1072</v>
      </c>
      <c r="B889" s="4" t="s">
        <v>1070</v>
      </c>
      <c r="C889" s="4" t="s">
        <v>22</v>
      </c>
      <c r="D889" s="4">
        <f>VLOOKUP(A889,[1]Discos!$C$8:$H$253,6,FALSE)</f>
        <v>230</v>
      </c>
      <c r="E889" s="4">
        <v>9</v>
      </c>
      <c r="F889" s="4">
        <v>41</v>
      </c>
      <c r="G889" s="4">
        <v>65</v>
      </c>
      <c r="H889" s="4" t="str">
        <f>VLOOKUP(A889,[1]Discos!$C$8:$L$253,10,FALSE)</f>
        <v>4H</v>
      </c>
    </row>
    <row r="890" spans="1:8">
      <c r="A890" s="3" t="s">
        <v>1073</v>
      </c>
      <c r="B890" s="4" t="s">
        <v>1070</v>
      </c>
      <c r="C890" s="4" t="s">
        <v>10</v>
      </c>
      <c r="D890" s="4">
        <f>VLOOKUP(A890,[1]Discos!$C$8:$H$253,6,FALSE)</f>
        <v>256</v>
      </c>
      <c r="E890" s="4">
        <v>22</v>
      </c>
      <c r="F890" s="4">
        <v>36.5</v>
      </c>
      <c r="G890" s="4">
        <v>65</v>
      </c>
      <c r="H890" s="4" t="str">
        <f>VLOOKUP(A890,[1]Discos!$C$8:$L$253,10,FALSE)</f>
        <v>4H</v>
      </c>
    </row>
    <row r="891" spans="1:8">
      <c r="A891" s="5" t="s">
        <v>1074</v>
      </c>
      <c r="B891" s="4" t="s">
        <v>1070</v>
      </c>
      <c r="C891" s="4" t="s">
        <v>22</v>
      </c>
      <c r="D891" s="4">
        <v>230</v>
      </c>
      <c r="E891" s="4">
        <v>9</v>
      </c>
      <c r="F891" s="4">
        <v>41</v>
      </c>
      <c r="G891" s="4">
        <v>65</v>
      </c>
      <c r="H891" s="4" t="s">
        <v>16</v>
      </c>
    </row>
    <row r="892" spans="1:8">
      <c r="A892" s="5" t="s">
        <v>1075</v>
      </c>
      <c r="B892" s="4" t="s">
        <v>1070</v>
      </c>
      <c r="C892" s="4" t="s">
        <v>10</v>
      </c>
      <c r="D892" s="4">
        <v>256</v>
      </c>
      <c r="E892" s="4">
        <v>22</v>
      </c>
      <c r="F892" s="4">
        <v>36.5</v>
      </c>
      <c r="G892" s="4">
        <v>65</v>
      </c>
      <c r="H892" s="4" t="s">
        <v>16</v>
      </c>
    </row>
    <row r="893" spans="1:8">
      <c r="A893" s="3" t="s">
        <v>1076</v>
      </c>
      <c r="B893" s="4" t="s">
        <v>1070</v>
      </c>
      <c r="C893" s="4" t="s">
        <v>22</v>
      </c>
      <c r="D893" s="4">
        <v>230</v>
      </c>
      <c r="E893" s="4">
        <v>9</v>
      </c>
      <c r="F893" s="4">
        <v>41</v>
      </c>
      <c r="G893" s="4">
        <v>65</v>
      </c>
      <c r="H893" s="4" t="s">
        <v>16</v>
      </c>
    </row>
    <row r="894" spans="1:8">
      <c r="A894" s="3" t="s">
        <v>1077</v>
      </c>
      <c r="B894" s="4" t="s">
        <v>1070</v>
      </c>
      <c r="C894" s="4" t="s">
        <v>10</v>
      </c>
      <c r="D894" s="4">
        <v>256</v>
      </c>
      <c r="E894" s="4">
        <v>22</v>
      </c>
      <c r="F894" s="4">
        <v>36.5</v>
      </c>
      <c r="G894" s="4">
        <v>65</v>
      </c>
      <c r="H894" s="4" t="s">
        <v>16</v>
      </c>
    </row>
    <row r="895" spans="1:8">
      <c r="A895" s="3" t="s">
        <v>1078</v>
      </c>
      <c r="B895" s="4" t="s">
        <v>1079</v>
      </c>
      <c r="C895" s="4" t="s">
        <v>10</v>
      </c>
      <c r="D895" s="4">
        <v>276</v>
      </c>
      <c r="E895" s="4">
        <v>24</v>
      </c>
      <c r="F895" s="4">
        <v>44.5</v>
      </c>
      <c r="G895" s="4">
        <v>65</v>
      </c>
      <c r="H895" s="4" t="s">
        <v>11</v>
      </c>
    </row>
    <row r="896" spans="1:8">
      <c r="A896" s="3" t="s">
        <v>1080</v>
      </c>
      <c r="B896" s="4" t="s">
        <v>1079</v>
      </c>
      <c r="C896" s="4" t="s">
        <v>10</v>
      </c>
      <c r="D896" s="4">
        <f>VLOOKUP(A896,[1]Discos!$C$8:$H$253,6,FALSE)</f>
        <v>276</v>
      </c>
      <c r="E896" s="4">
        <v>24</v>
      </c>
      <c r="F896" s="4">
        <v>44.5</v>
      </c>
      <c r="G896" s="4">
        <v>65</v>
      </c>
      <c r="H896" s="4" t="str">
        <f>VLOOKUP(A896,[1]Discos!$C$8:$L$253,10,FALSE)</f>
        <v>5H</v>
      </c>
    </row>
    <row r="897" spans="1:8">
      <c r="A897" s="5" t="s">
        <v>1081</v>
      </c>
      <c r="B897" s="4" t="s">
        <v>1079</v>
      </c>
      <c r="C897" s="4" t="s">
        <v>10</v>
      </c>
      <c r="D897" s="4">
        <v>276</v>
      </c>
      <c r="E897" s="4">
        <v>24</v>
      </c>
      <c r="F897" s="4">
        <v>44.5</v>
      </c>
      <c r="G897" s="4">
        <v>65</v>
      </c>
      <c r="H897" s="4" t="s">
        <v>11</v>
      </c>
    </row>
    <row r="898" spans="1:8" ht="15" thickBot="1">
      <c r="A898" s="20" t="s">
        <v>1082</v>
      </c>
      <c r="B898" s="21" t="s">
        <v>1079</v>
      </c>
      <c r="C898" s="21" t="s">
        <v>10</v>
      </c>
      <c r="D898" s="21">
        <v>276</v>
      </c>
      <c r="E898" s="21">
        <v>24</v>
      </c>
      <c r="F898" s="21">
        <v>44.5</v>
      </c>
      <c r="G898" s="21">
        <v>65</v>
      </c>
      <c r="H898" s="21" t="s">
        <v>11</v>
      </c>
    </row>
  </sheetData>
  <autoFilter ref="A1:H898" xr:uid="{BD3D63E6-B28D-440D-80C1-203DA51D2B07}">
    <sortState xmlns:xlrd2="http://schemas.microsoft.com/office/spreadsheetml/2017/richdata2" ref="A2:H898">
      <sortCondition ref="B1:B89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ANDRES CARPIO CASTILLO</dc:creator>
  <cp:lastModifiedBy>FRANCISCO ANDRES CARPIO CASTILLO</cp:lastModifiedBy>
  <dcterms:created xsi:type="dcterms:W3CDTF">2026-07-29T21:10:59Z</dcterms:created>
  <dcterms:modified xsi:type="dcterms:W3CDTF">2026-07-29T21:12:24Z</dcterms:modified>
</cp:coreProperties>
</file>